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I Test Cases" sheetId="1" state="visible" r:id="rId3"/>
    <sheet name="Summary" sheetId="2" state="visible" r:id="rId4"/>
  </sheets>
  <definedNames>
    <definedName function="false" hidden="true" localSheetId="0" name="_xlnm._FilterDatabase" vbProcedure="false">'API Test Cases'!$A$1:$I$102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<sst xmlns="http://schemas.openxmlformats.org/spreadsheetml/2006/main" count="927" uniqueCount="415">
  <si>
    <t xml:space="preserve">TestCaseID</t>
  </si>
  <si>
    <t xml:space="preserve">Endpoint</t>
  </si>
  <si>
    <t xml:space="preserve">Method</t>
  </si>
  <si>
    <t xml:space="preserve">Description</t>
  </si>
  <si>
    <t xml:space="preserve">Type</t>
  </si>
  <si>
    <t xml:space="preserve">Input</t>
  </si>
  <si>
    <t xml:space="preserve">ExpectedStatus</t>
  </si>
  <si>
    <t xml:space="preserve">ExpectedResult</t>
  </si>
  <si>
    <t xml:space="preserve">Status</t>
  </si>
  <si>
    <t xml:space="preserve">TC001</t>
  </si>
  <si>
    <t xml:space="preserve">/api/v1/estimate</t>
  </si>
  <si>
    <t xml:space="preserve">POST</t>
  </si>
  <si>
    <t xml:space="preserve">Create recurring estimate (WEEKLY, AFTER_VISITS, PER_VISIT)</t>
  </si>
  <si>
    <t xml:space="preserve">Happy</t>
  </si>
  <si>
    <t xml:space="preserve">isRecurringEstimate=true; recurringService{name, startDateTime=future, WEEKLY, AFTER_VISITS, numberOfVisits=12, PER_VISIT}</t>
  </si>
  <si>
    <t xml:space="preserve">201</t>
  </si>
  <si>
    <t xml:space="preserve">Estimate created; recurringService.id set; origin=ESTIMATE; linked job tagged isRecurringJob=true</t>
  </si>
  <si>
    <t xml:space="preserve">Not Run</t>
  </si>
  <si>
    <t xml:space="preserve">TC002</t>
  </si>
  <si>
    <t xml:space="preserve">Create non-recurring estimate</t>
  </si>
  <si>
    <t xml:space="preserve">isRecurringEstimate=false; no recurringService</t>
  </si>
  <si>
    <t xml:space="preserve">Estimate created; isRecurringEstimate=false; recurringService=null</t>
  </si>
  <si>
    <t xml:space="preserve">TC003</t>
  </si>
  <si>
    <t xml:space="preserve">Create recurring estimate BI_WEEKLY + ON_DATE end</t>
  </si>
  <si>
    <t xml:space="preserve">isRecurringEstimate=true; visitFrequency=BI_WEEKLY; endType=ON_DATE; numberOfVisits matches cadence</t>
  </si>
  <si>
    <t xml:space="preserve">Estimate created; numberOfVisits validated against endDateTime</t>
  </si>
  <si>
    <t xml:space="preserve">TC004</t>
  </si>
  <si>
    <t xml:space="preserve">Create MONTHLY + AFTER_ALL_VISITS billing</t>
  </si>
  <si>
    <t xml:space="preserve">isRecurringEstimate=true; MONTHLY; chargeType=AFTER_ALL_VISITS; numberOfVisits=6</t>
  </si>
  <si>
    <t xml:space="preserve">One invoice scheduled after last visit</t>
  </si>
  <si>
    <t xml:space="preserve">TC005</t>
  </si>
  <si>
    <t xml:space="preserve">Create QUARTERLY frequency</t>
  </si>
  <si>
    <t xml:space="preserve">isRecurringEstimate=true; visitFrequency=QUARTERLY; numberOfVisits=4</t>
  </si>
  <si>
    <t xml:space="preserve">Estimate created with 4 quarterly visits</t>
  </si>
  <si>
    <t xml:space="preserve">TC006</t>
  </si>
  <si>
    <t xml:space="preserve">Create YEARLY frequency</t>
  </si>
  <si>
    <t xml:space="preserve">isRecurringEstimate=true; visitFrequency=YEARLY; numberOfVisits=3</t>
  </si>
  <si>
    <t xml:space="preserve">Estimate created with 3 yearly visits</t>
  </si>
  <si>
    <t xml:space="preserve">TC007</t>
  </si>
  <si>
    <t xml:space="preserve">Create with multi-line termsConditions</t>
  </si>
  <si>
    <t xml:space="preserve">recurringService.termsConditions = multi-line string with \n</t>
  </si>
  <si>
    <t xml:space="preserve">termsConditions stored verbatim with newlines</t>
  </si>
  <si>
    <t xml:space="preserve">TC008</t>
  </si>
  <si>
    <t xml:space="preserve">startDateTime = today (calendar-day boundary)</t>
  </si>
  <si>
    <t xml:space="preserve">Edge</t>
  </si>
  <si>
    <t xml:space="preserve">startDateTime = today 23:59 UTC</t>
  </si>
  <si>
    <t xml:space="preserve">Accepted; today is allowed</t>
  </si>
  <si>
    <t xml:space="preserve">TC009</t>
  </si>
  <si>
    <t xml:space="preserve">numberOfVisits = 1 (single-visit SLA)</t>
  </si>
  <si>
    <t xml:space="preserve">numberOfVisits=1; endDateTime = startDateTime</t>
  </si>
  <si>
    <t xml:space="preserve">Single-visit SLA accepted</t>
  </si>
  <si>
    <t xml:space="preserve">TC010</t>
  </si>
  <si>
    <t xml:space="preserve">Large numberOfVisits = 999</t>
  </si>
  <si>
    <t xml:space="preserve">numberOfVisits=999; WEEKLY</t>
  </si>
  <si>
    <t xml:space="preserve">Accepted (or business cap enforced with 400)</t>
  </si>
  <si>
    <t xml:space="preserve">TC011</t>
  </si>
  <si>
    <t xml:space="preserve">Empty termsConditions</t>
  </si>
  <si>
    <t xml:space="preserve">termsConditions=""</t>
  </si>
  <si>
    <t xml:space="preserve">Accepted; stored as empty string</t>
  </si>
  <si>
    <t xml:space="preserve">TC012</t>
  </si>
  <si>
    <t xml:space="preserve">delinkExistingJob=true when chosen job has standalone tasks</t>
  </si>
  <si>
    <t xml:space="preserve">isRecurringEstimate=true; existing jobId with totalTasks&gt;0; delinkExistingJob=true</t>
  </si>
  <si>
    <t xml:space="preserve">New recurring job created; old job remains untouched</t>
  </si>
  <si>
    <t xml:space="preserve">TC013</t>
  </si>
  <si>
    <t xml:space="preserve">Missing recurringService when toggle is on</t>
  </si>
  <si>
    <t xml:space="preserve">Negative</t>
  </si>
  <si>
    <t xml:space="preserve">isRecurringEstimate=true; recurringService omitted</t>
  </si>
  <si>
    <t xml:space="preserve">400</t>
  </si>
  <si>
    <t xml:space="preserve">Validation error: recurringService required</t>
  </si>
  <si>
    <t xml:space="preserve">TC014</t>
  </si>
  <si>
    <t xml:space="preserve">startDateTime in past</t>
  </si>
  <si>
    <t xml:space="preserve">startDateTime=yesterday</t>
  </si>
  <si>
    <t xml:space="preserve">Validation error: startDateTime cannot be in past</t>
  </si>
  <si>
    <t xml:space="preserve">TC015</t>
  </si>
  <si>
    <t xml:space="preserve">AFTER_VISITS endDateTime cadence mismatch</t>
  </si>
  <si>
    <t xml:space="preserve">AFTER_VISITS; WEEKLY; numberOfVisits=4; endDateTime != start + 3 weeks</t>
  </si>
  <si>
    <t xml:space="preserve">Validation error on endDateTime cadence</t>
  </si>
  <si>
    <t xml:space="preserve">TC016</t>
  </si>
  <si>
    <t xml:space="preserve">ON_DATE numberOfVisits cadence mismatch</t>
  </si>
  <si>
    <t xml:space="preserve">ON_DATE; WEEKLY; start+end span = 4 weeks; numberOfVisits=10</t>
  </si>
  <si>
    <t xml:space="preserve">Validation error on numberOfVisits cadence</t>
  </si>
  <si>
    <t xml:space="preserve">TC017</t>
  </si>
  <si>
    <t xml:space="preserve">Recurring + deposit combo forbidden</t>
  </si>
  <si>
    <t xml:space="preserve">isRecurringEstimate=true; estimateInfo.isDepositRequired=true</t>
  </si>
  <si>
    <t xml:space="preserve">Error code DEPOSIT_NOT_ALLOWED_ON_RECURRING</t>
  </si>
  <si>
    <t xml:space="preserve">TC018</t>
  </si>
  <si>
    <t xml:space="preserve">Invalid visitFrequency value</t>
  </si>
  <si>
    <t xml:space="preserve">visitFrequency=DAILY</t>
  </si>
  <si>
    <t xml:space="preserve">Enum validation error</t>
  </si>
  <si>
    <t xml:space="preserve">TC019</t>
  </si>
  <si>
    <t xml:space="preserve">Invalid endType value</t>
  </si>
  <si>
    <t xml:space="preserve">endType=NEVER</t>
  </si>
  <si>
    <t xml:space="preserve">TC020</t>
  </si>
  <si>
    <t xml:space="preserve">Invalid chargeType value</t>
  </si>
  <si>
    <t xml:space="preserve">chargeType=UPFRONT</t>
  </si>
  <si>
    <t xml:space="preserve">TC021</t>
  </si>
  <si>
    <t xml:space="preserve">numberOfVisits = 0</t>
  </si>
  <si>
    <t xml:space="preserve">numberOfVisits=0</t>
  </si>
  <si>
    <t xml:space="preserve">Validation: must be &gt;= 1</t>
  </si>
  <si>
    <t xml:space="preserve">TC022</t>
  </si>
  <si>
    <t xml:space="preserve">numberOfVisits negative</t>
  </si>
  <si>
    <t xml:space="preserve">numberOfVisits=-3</t>
  </si>
  <si>
    <t xml:space="preserve">TC023</t>
  </si>
  <si>
    <t xml:space="preserve">endDateTime before startDateTime</t>
  </si>
  <si>
    <t xml:space="preserve">endDateTime &lt; startDateTime</t>
  </si>
  <si>
    <t xml:space="preserve">Validation: end must be after start</t>
  </si>
  <si>
    <t xml:space="preserve">TC024</t>
  </si>
  <si>
    <t xml:space="preserve">Empty recurringService.name</t>
  </si>
  <si>
    <t xml:space="preserve">recurringService.name=""</t>
  </si>
  <si>
    <t xml:space="preserve">Validation: name required</t>
  </si>
  <si>
    <t xml:space="preserve">TC025</t>
  </si>
  <si>
    <t xml:space="preserve">recurringService present but toggle is false</t>
  </si>
  <si>
    <t xml:space="preserve">isRecurringEstimate=false; recurringService={...}</t>
  </si>
  <si>
    <t xml:space="preserve">Validation: recurringService forbidden when toggle off</t>
  </si>
  <si>
    <t xml:space="preserve">TC026</t>
  </si>
  <si>
    <t xml:space="preserve">Missing auth token</t>
  </si>
  <si>
    <t xml:space="preserve">Authorization header omitted</t>
  </si>
  <si>
    <t xml:space="preserve">401</t>
  </si>
  <si>
    <t xml:space="preserve">Unauthorized</t>
  </si>
  <si>
    <t xml:space="preserve">TC027</t>
  </si>
  <si>
    <t xml:space="preserve">delinkExistingJob=true but toggle is off</t>
  </si>
  <si>
    <t xml:space="preserve">isRecurringEstimate=false; delinkExistingJob=true</t>
  </si>
  <si>
    <t xml:space="preserve">Validation: delink only allowed when recurring</t>
  </si>
  <si>
    <t xml:space="preserve">TC028</t>
  </si>
  <si>
    <t xml:space="preserve">/api/v1/estimate/{id}</t>
  </si>
  <si>
    <t xml:space="preserve">PUT</t>
  </si>
  <si>
    <t xml:space="preserve">Toggle off→on (create SLA)</t>
  </si>
  <si>
    <t xml:space="preserve">previous isRecurringEstimate=false; new=true; valid recurringService</t>
  </si>
  <si>
    <t xml:space="preserve">200</t>
  </si>
  <si>
    <t xml:space="preserve">SLA created; linked job tagged isRecurringJob=true</t>
  </si>
  <si>
    <t xml:space="preserve">TC029</t>
  </si>
  <si>
    <t xml:space="preserve">Toggle on→off (delete SLA)</t>
  </si>
  <si>
    <t xml:space="preserve">previous isRecurringEstimate=true; new=false</t>
  </si>
  <si>
    <t xml:space="preserve">SLA deleted; job untagged</t>
  </si>
  <si>
    <t xml:space="preserve">TC030</t>
  </si>
  <si>
    <t xml:space="preserve">Toggle on→on (update SLA fields)</t>
  </si>
  <si>
    <t xml:space="preserve">isRecurringEstimate stays true; new visitFrequency=MONTHLY</t>
  </si>
  <si>
    <t xml:space="preserve">recurringService fields updated in place</t>
  </si>
  <si>
    <t xml:space="preserve">TC031</t>
  </si>
  <si>
    <t xml:space="preserve">off→on with delinkExistingJob=true</t>
  </si>
  <si>
    <t xml:space="preserve">Existing job has standalone tasks; delinkExistingJob=true</t>
  </si>
  <si>
    <t xml:space="preserve">Old job kept; new recurring job created and linked</t>
  </si>
  <si>
    <t xml:space="preserve">TC032</t>
  </si>
  <si>
    <t xml:space="preserve">on→off with recurringService still in payload</t>
  </si>
  <si>
    <t xml:space="preserve">Validation: forbidden combination</t>
  </si>
  <si>
    <t xml:space="preserve">TC033</t>
  </si>
  <si>
    <t xml:space="preserve">Invalid estimateId</t>
  </si>
  <si>
    <t xml:space="preserve">estimateId=non-existent UUID</t>
  </si>
  <si>
    <t xml:space="preserve">404</t>
  </si>
  <si>
    <t xml:space="preserve">Estimate not found</t>
  </si>
  <si>
    <t xml:space="preserve">TC034</t>
  </si>
  <si>
    <t xml:space="preserve">Edit after approval blocked</t>
  </si>
  <si>
    <t xml:space="preserve">Estimate status=Approved; attempt to PUT</t>
  </si>
  <si>
    <t xml:space="preserve">403</t>
  </si>
  <si>
    <t xml:space="preserve">Editing approved estimates blocked</t>
  </si>
  <si>
    <t xml:space="preserve">TC035</t>
  </si>
  <si>
    <t xml:space="preserve">off→on missing recurringService</t>
  </si>
  <si>
    <t xml:space="preserve">isRecurringEstimate flips false→true; recurringService omitted</t>
  </si>
  <si>
    <t xml:space="preserve">Validation: recurringService required</t>
  </si>
  <si>
    <t xml:space="preserve">TC036</t>
  </si>
  <si>
    <t xml:space="preserve">PATCH</t>
  </si>
  <si>
    <t xml:space="preserve">Omit isRecurringEstimate, update other fields</t>
  </si>
  <si>
    <t xml:space="preserve">Patch body has only estimateInfo changes</t>
  </si>
  <si>
    <t xml:space="preserve">Recurring flag and SLA unchanged</t>
  </si>
  <si>
    <t xml:space="preserve">TC037</t>
  </si>
  <si>
    <t xml:space="preserve">Toggle false→true with recurringService</t>
  </si>
  <si>
    <t xml:space="preserve">isRecurringEstimate=true; recurringService valid</t>
  </si>
  <si>
    <t xml:space="preserve">SLA created</t>
  </si>
  <si>
    <t xml:space="preserve">TC038</t>
  </si>
  <si>
    <t xml:space="preserve">Toggle false→true without recurringService</t>
  </si>
  <si>
    <t xml:space="preserve">TC039</t>
  </si>
  <si>
    <t xml:space="preserve">isRecurringEstimate=false + recurringService</t>
  </si>
  <si>
    <t xml:space="preserve">TC040</t>
  </si>
  <si>
    <t xml:space="preserve">GET</t>
  </si>
  <si>
    <t xml:space="preserve">Fetch recurring estimate detail</t>
  </si>
  <si>
    <t xml:space="preserve">estimateId of recurring estimate</t>
  </si>
  <si>
    <t xml:space="preserve">Returns isRecurringEstimate=true; recurringService object; job.isRecurringJob=true; job.totalTasks numeric</t>
  </si>
  <si>
    <t xml:space="preserve">TC041</t>
  </si>
  <si>
    <t xml:space="preserve">Fetch non-recurring estimate</t>
  </si>
  <si>
    <t xml:space="preserve">estimateId of standard estimate</t>
  </si>
  <si>
    <t xml:space="preserve">isRecurringEstimate=false; recurringService=null</t>
  </si>
  <si>
    <t xml:space="preserve">TC042</t>
  </si>
  <si>
    <t xml:space="preserve">Estimate with no linked job</t>
  </si>
  <si>
    <t xml:space="preserve">estimateId where jobId=null</t>
  </si>
  <si>
    <t xml:space="preserve">job=null or job.isRecurringJob=false</t>
  </si>
  <si>
    <t xml:space="preserve">TC043</t>
  </si>
  <si>
    <t xml:space="preserve">estimateId=non-existent</t>
  </si>
  <si>
    <t xml:space="preserve">TC044</t>
  </si>
  <si>
    <t xml:space="preserve">No Authorization header</t>
  </si>
  <si>
    <t xml:space="preserve">TC045</t>
  </si>
  <si>
    <t xml:space="preserve">List estimates returns new fields</t>
  </si>
  <si>
    <t xml:space="preserve">Page 1 of estimates</t>
  </si>
  <si>
    <t xml:space="preserve">Each item has isRecurringEstimate and recurringService.name (or null)</t>
  </si>
  <si>
    <t xml:space="preserve">TC046</t>
  </si>
  <si>
    <t xml:space="preserve">Empty result set</t>
  </si>
  <si>
    <t xml:space="preserve">Filter that matches no records</t>
  </si>
  <si>
    <t xml:space="preserve">data=[]</t>
  </si>
  <si>
    <t xml:space="preserve">TC047</t>
  </si>
  <si>
    <t xml:space="preserve">Mixed recurring + non-recurring on same page</t>
  </si>
  <si>
    <t xml:space="preserve">Page contains both types</t>
  </si>
  <si>
    <t xml:space="preserve">recurringService.name populated only for recurring</t>
  </si>
  <si>
    <t xml:space="preserve">TC048</t>
  </si>
  <si>
    <t xml:space="preserve">/api/v1/invoice</t>
  </si>
  <si>
    <t xml:space="preserve">List returns new recurring fields</t>
  </si>
  <si>
    <t xml:space="preserve">GET /invoice</t>
  </si>
  <si>
    <t xml:space="preserve">Each item has isRecurringInvoice and recurringServiceName</t>
  </si>
  <si>
    <t xml:space="preserve">TC049</t>
  </si>
  <si>
    <t xml:space="preserve">Filter status=Past Due</t>
  </si>
  <si>
    <t xml:space="preserve">?status=Past Due</t>
  </si>
  <si>
    <t xml:space="preserve">Returns only invoices with status∈{Draft,Sent} AND dueDate&lt;now</t>
  </si>
  <si>
    <t xml:space="preserve">TC050</t>
  </si>
  <si>
    <t xml:space="preserve">Filter status=Paid</t>
  </si>
  <si>
    <t xml:space="preserve">?status=Paid</t>
  </si>
  <si>
    <t xml:space="preserve">Returns only Paid invoices</t>
  </si>
  <si>
    <t xml:space="preserve">TC051</t>
  </si>
  <si>
    <t xml:space="preserve">Past Due with no overdue invoices</t>
  </si>
  <si>
    <t xml:space="preserve">?status=Past Due (none overdue)</t>
  </si>
  <si>
    <t xml:space="preserve">TC052</t>
  </si>
  <si>
    <t xml:space="preserve">Invalid status enum</t>
  </si>
  <si>
    <t xml:space="preserve">?status=BOGUS</t>
  </si>
  <si>
    <t xml:space="preserve">TC053</t>
  </si>
  <si>
    <t xml:space="preserve">Past Due excludes Paid/Void</t>
  </si>
  <si>
    <t xml:space="preserve">Mix of Paid + Sent overdue</t>
  </si>
  <si>
    <t xml:space="preserve">Only Sent overdue returned</t>
  </si>
  <si>
    <t xml:space="preserve">TC054</t>
  </si>
  <si>
    <t xml:space="preserve">/api/v1/invoice/{id}</t>
  </si>
  <si>
    <t xml:space="preserve">Recurring invoice detail</t>
  </si>
  <si>
    <t xml:space="preserve">invoiceId of recurring invoice</t>
  </si>
  <si>
    <t xml:space="preserve">isRecurringInvoice=true; recurringSummary block populated</t>
  </si>
  <si>
    <t xml:space="preserve">TC055</t>
  </si>
  <si>
    <t xml:space="preserve">Non-recurring invoice detail</t>
  </si>
  <si>
    <t xml:space="preserve">invoiceId of standard invoice</t>
  </si>
  <si>
    <t xml:space="preserve">isRecurringInvoice=false; recurringService=null; recurringSummary=null</t>
  </si>
  <si>
    <t xml:space="preserve">TC056</t>
  </si>
  <si>
    <t xml:space="preserve">outstandingBalance correctness</t>
  </si>
  <si>
    <t xml:space="preserve">Recurring invoice with paidAmount=50, totalAmount=120</t>
  </si>
  <si>
    <t xml:space="preserve">outstandingBalance = totalAmount - paidAmount = 70</t>
  </si>
  <si>
    <t xml:space="preserve">TC057</t>
  </si>
  <si>
    <t xml:space="preserve">All invoices paid</t>
  </si>
  <si>
    <t xml:space="preserve">All recurring invoices Paid</t>
  </si>
  <si>
    <t xml:space="preserve">paidAmount=invoicedAmount; outstandingBalance=0</t>
  </si>
  <si>
    <t xml:space="preserve">TC058</t>
  </si>
  <si>
    <t xml:space="preserve">Void invoices excluded from summary</t>
  </si>
  <si>
    <t xml:space="preserve">One void + two paid on same job</t>
  </si>
  <si>
    <t xml:space="preserve">invoicedAmount sums non-void only</t>
  </si>
  <si>
    <t xml:space="preserve">TC059</t>
  </si>
  <si>
    <t xml:space="preserve">Invalid invoiceId</t>
  </si>
  <si>
    <t xml:space="preserve">invoiceId=non-existent</t>
  </si>
  <si>
    <t xml:space="preserve">Invoice not found</t>
  </si>
  <si>
    <t xml:space="preserve">TC060</t>
  </si>
  <si>
    <t xml:space="preserve">/jobs</t>
  </si>
  <si>
    <t xml:space="preserve">List jobs returns new fields</t>
  </si>
  <si>
    <t xml:space="preserve">GET /jobs</t>
  </si>
  <si>
    <t xml:space="preserve">Each item has isRecurringJob and recurringServiceName</t>
  </si>
  <si>
    <t xml:space="preserve">TC061</t>
  </si>
  <si>
    <t xml:space="preserve">Empty job list</t>
  </si>
  <si>
    <t xml:space="preserve">Filter matches nothing</t>
  </si>
  <si>
    <t xml:space="preserve">TC062</t>
  </si>
  <si>
    <t xml:space="preserve">Create recurring job (totalAmount mandatory)</t>
  </si>
  <si>
    <t xml:space="preserve">isRecurringJob=true; recurringService.totalAmount=1200; WEEKLY; AFTER_VISITS</t>
  </si>
  <si>
    <t xml:space="preserve">Job created; recurringService.id set; origin=JOB</t>
  </si>
  <si>
    <t xml:space="preserve">TC063</t>
  </si>
  <si>
    <t xml:space="preserve">Create non-recurring job</t>
  </si>
  <si>
    <t xml:space="preserve">isRecurringJob=false</t>
  </si>
  <si>
    <t xml:space="preserve">Job created; recurringService=null</t>
  </si>
  <si>
    <t xml:space="preserve">TC064</t>
  </si>
  <si>
    <t xml:space="preserve">Create with hierarchical address (complex/block/floor)</t>
  </si>
  <si>
    <t xml:space="preserve">Include complexId, blockId, floorId UUIDs</t>
  </si>
  <si>
    <t xml:space="preserve">Job created with structural fields persisted</t>
  </si>
  <si>
    <t xml:space="preserve">TC065</t>
  </si>
  <si>
    <t xml:space="preserve">isRecurringJob=true, recurringService missing</t>
  </si>
  <si>
    <t xml:space="preserve">isRecurringJob=true; recurringService omitted</t>
  </si>
  <si>
    <t xml:space="preserve">TC066</t>
  </si>
  <si>
    <t xml:space="preserve">Recurring job missing totalAmount</t>
  </si>
  <si>
    <t xml:space="preserve">isRecurringJob=true; recurringService without totalAmount</t>
  </si>
  <si>
    <t xml:space="preserve">Validation: totalAmount required on job-path SLA</t>
  </si>
  <si>
    <t xml:space="preserve">TC067</t>
  </si>
  <si>
    <t xml:space="preserve">isRecurringJob=false, recurringService present</t>
  </si>
  <si>
    <t xml:space="preserve">isRecurringJob=false; recurringService={...}</t>
  </si>
  <si>
    <t xml:space="preserve">TC068</t>
  </si>
  <si>
    <t xml:space="preserve">Invalid visitFrequency</t>
  </si>
  <si>
    <t xml:space="preserve">TC069</t>
  </si>
  <si>
    <t xml:space="preserve">Validation: startDateTime cannot be in past</t>
  </si>
  <si>
    <t xml:space="preserve">TC070</t>
  </si>
  <si>
    <t xml:space="preserve">AFTER_VISITS cadence mismatch</t>
  </si>
  <si>
    <t xml:space="preserve">WEEKLY; numberOfVisits=4; endDateTime != start+3w</t>
  </si>
  <si>
    <t xml:space="preserve">Validation: cadence mismatch</t>
  </si>
  <si>
    <t xml:space="preserve">TC071</t>
  </si>
  <si>
    <t xml:space="preserve">/jobs/{id}</t>
  </si>
  <si>
    <t xml:space="preserve">Convert standalone job → recurring</t>
  </si>
  <si>
    <t xml:space="preserve">isRecurringJob flips false→true; recurringService valid</t>
  </si>
  <si>
    <t xml:space="preserve">Job tagged recurring; tasks auto-generated</t>
  </si>
  <si>
    <t xml:space="preserve">TC072</t>
  </si>
  <si>
    <t xml:space="preserve">Update SLA fields on existing recurring job</t>
  </si>
  <si>
    <t xml:space="preserve">Change visitFrequency from WEEKLY to MONTHLY</t>
  </si>
  <si>
    <t xml:space="preserve">Future/ongoing tasks rescheduled; completed unchanged</t>
  </si>
  <si>
    <t xml:space="preserve">TC073</t>
  </si>
  <si>
    <t xml:space="preserve">Toggle recurring → non-recurring</t>
  </si>
  <si>
    <t xml:space="preserve">isRecurringJob true→false</t>
  </si>
  <si>
    <t xml:space="preserve">Future tasks cancelled; past tasks preserved</t>
  </si>
  <si>
    <t xml:space="preserve">TC074</t>
  </si>
  <si>
    <t xml:space="preserve">isRecurringJob=false with recurringService</t>
  </si>
  <si>
    <t xml:space="preserve">TC075</t>
  </si>
  <si>
    <t xml:space="preserve">Invalid jobId</t>
  </si>
  <si>
    <t xml:space="preserve">jobId=non-existent UUID</t>
  </si>
  <si>
    <t xml:space="preserve">Job not found</t>
  </si>
  <si>
    <t xml:space="preserve">TC076</t>
  </si>
  <si>
    <t xml:space="preserve">/tasks</t>
  </si>
  <si>
    <t xml:space="preserve">List tasks returns new recurring fields</t>
  </si>
  <si>
    <t xml:space="preserve">GET /tasks</t>
  </si>
  <si>
    <t xml:space="preserve">Each item has isRecurringTask and recurringServiceName</t>
  </si>
  <si>
    <t xml:space="preserve">TC077</t>
  </si>
  <si>
    <t xml:space="preserve">Non-recurring task in result</t>
  </si>
  <si>
    <t xml:space="preserve">Task on standalone job</t>
  </si>
  <si>
    <t xml:space="preserve">isRecurringTask=false; recurringServiceName=null</t>
  </si>
  <si>
    <t xml:space="preserve">TC078</t>
  </si>
  <si>
    <t xml:space="preserve">Filter recurring tasks</t>
  </si>
  <si>
    <t xml:space="preserve">?isRecurring=true (if supported)</t>
  </si>
  <si>
    <t xml:space="preserve">Only tasks where isRecurringTask=true</t>
  </si>
  <si>
    <t xml:space="preserve">TC079</t>
  </si>
  <si>
    <t xml:space="preserve">Malformed JSON body</t>
  </si>
  <si>
    <t xml:space="preserve">Body = '{invalid json'</t>
  </si>
  <si>
    <t xml:space="preserve">JSON parse error</t>
  </si>
  <si>
    <t xml:space="preserve">TC080</t>
  </si>
  <si>
    <t xml:space="preserve">Invalid auth token</t>
  </si>
  <si>
    <t xml:space="preserve">Authorization: Bearer XXXX</t>
  </si>
  <si>
    <t xml:space="preserve">TC081</t>
  </si>
  <si>
    <t xml:space="preserve">SQL-injection in name field</t>
  </si>
  <si>
    <t xml:space="preserve">recurringService.name = "' OR 1=1; DROP TABLE estimates;--"</t>
  </si>
  <si>
    <t xml:space="preserve">Stored as plain string (escaped); no DB impact</t>
  </si>
  <si>
    <t xml:space="preserve">TC082</t>
  </si>
  <si>
    <t xml:space="preserve">XSS payload in termsConditions</t>
  </si>
  <si>
    <t xml:space="preserve">termsConditions = '&lt;script&gt;alert(1)&lt;/script&gt;'</t>
  </si>
  <si>
    <t xml:space="preserve">Stored escaped/sanitised; rendered as text in PDF</t>
  </si>
  <si>
    <t xml:space="preserve">TC083</t>
  </si>
  <si>
    <t xml:space="preserve">Concurrent recurring job creation (idempotency)</t>
  </si>
  <si>
    <t xml:space="preserve">Same payload sent twice within 1s</t>
  </si>
  <si>
    <t xml:space="preserve">201 then 409/201</t>
  </si>
  <si>
    <t xml:space="preserve">Either deduped (409) or two jobs (201 twice); no orphan tasks</t>
  </si>
  <si>
    <t xml:space="preserve">TC084</t>
  </si>
  <si>
    <t xml:space="preserve">Two recurring services in productServices</t>
  </si>
  <si>
    <t xml:space="preserve">productServices contains two recurring items</t>
  </si>
  <si>
    <t xml:space="preserve">400 or warning</t>
  </si>
  <si>
    <t xml:space="preserve">FE expected to block; BE may accept first only</t>
  </si>
  <si>
    <t xml:space="preserve">TC085</t>
  </si>
  <si>
    <t xml:space="preserve">Approved estimate edit blocked from downstream module</t>
  </si>
  <si>
    <t xml:space="preserve">Patch via job context on approved estimate</t>
  </si>
  <si>
    <t xml:space="preserve">Edits blocked on approved estimates</t>
  </si>
  <si>
    <t xml:space="preserve">TC086</t>
  </si>
  <si>
    <t xml:space="preserve">Default list excludes Void</t>
  </si>
  <si>
    <t xml:space="preserve">Workspace has 5 active + 2 void</t>
  </si>
  <si>
    <t xml:space="preserve">Default response returns 5; void invoices excluded from default page</t>
  </si>
  <si>
    <t xml:space="preserve">TC087</t>
  </si>
  <si>
    <t xml:space="preserve">Filter status=Void returns voids explicitly</t>
  </si>
  <si>
    <t xml:space="preserve">?status=Void</t>
  </si>
  <si>
    <t xml:space="preserve">Only void invoices returned; not mixed into default</t>
  </si>
  <si>
    <t xml:space="preserve">TC088</t>
  </si>
  <si>
    <t xml:space="preserve">Past Due excludes Void even if dueDate&lt;now</t>
  </si>
  <si>
    <t xml:space="preserve">Void invoice with overdue dueDate exists</t>
  </si>
  <si>
    <t xml:space="preserve">?status=Past Due returns 0; void never appears in Past Due</t>
  </si>
  <si>
    <t xml:space="preserve">TC089</t>
  </si>
  <si>
    <t xml:space="preserve">recurringSummary.invoicedAmount excludes void</t>
  </si>
  <si>
    <t xml:space="preserve">Job has 3 invoices: 2 Sent + 1 Void</t>
  </si>
  <si>
    <t xml:space="preserve">data.invoice.recurringSummary.invoicedAmount sums only non-void</t>
  </si>
  <si>
    <t xml:space="preserve">TC090</t>
  </si>
  <si>
    <t xml:space="preserve">recurringSummary.paidAmount excludes void</t>
  </si>
  <si>
    <t xml:space="preserve">Void invoice had captured payment before voiding</t>
  </si>
  <si>
    <t xml:space="preserve">paidAmount ignores void-row payments</t>
  </si>
  <si>
    <t xml:space="preserve">TC091</t>
  </si>
  <si>
    <t xml:space="preserve">outstandingBalance correct after voiding</t>
  </si>
  <si>
    <t xml:space="preserve">totalAmount=500, paid=200, void=100, sent=200</t>
  </si>
  <si>
    <t xml:space="preserve">outstandingBalance = totalAmount - paidAmount = 300</t>
  </si>
  <si>
    <t xml:space="preserve">TC092</t>
  </si>
  <si>
    <t xml:space="preserve">Workspace has 4 active + 2 void estimates</t>
  </si>
  <si>
    <t xml:space="preserve">Default response returns 4; voids excluded</t>
  </si>
  <si>
    <t xml:space="preserve">TC093</t>
  </si>
  <si>
    <t xml:space="preserve">Default list excludes Expired</t>
  </si>
  <si>
    <t xml:space="preserve">Workspace has 5 active + 3 expired estimates</t>
  </si>
  <si>
    <t xml:space="preserve">Default response returns 5; expired excluded</t>
  </si>
  <si>
    <t xml:space="preserve">TC094</t>
  </si>
  <si>
    <t xml:space="preserve">Default list excludes Void + Expired together</t>
  </si>
  <si>
    <t xml:space="preserve">2 active + 1 void + 1 expired</t>
  </si>
  <si>
    <t xml:space="preserve">Default response length = 2</t>
  </si>
  <si>
    <t xml:space="preserve">TC095</t>
  </si>
  <si>
    <t xml:space="preserve">Explicit ?status=Void returns voids</t>
  </si>
  <si>
    <t xml:space="preserve">Only void estimates returned</t>
  </si>
  <si>
    <t xml:space="preserve">TC096</t>
  </si>
  <si>
    <t xml:space="preserve">Explicit ?status=Expired returns expired</t>
  </si>
  <si>
    <t xml:space="preserve">?status=Expired</t>
  </si>
  <si>
    <t xml:space="preserve">Only expired estimates returned</t>
  </si>
  <si>
    <t xml:space="preserve">TC097</t>
  </si>
  <si>
    <t xml:space="preserve">Recurring estimate listing also excludes void+expired</t>
  </si>
  <si>
    <t xml:space="preserve">Mixed recurring states (active/void/expired)</t>
  </si>
  <si>
    <t xml:space="preserve">Default page omits void and expired even when isRecurringEstimate=true</t>
  </si>
  <si>
    <t xml:space="preserve">TC098</t>
  </si>
  <si>
    <t xml:space="preserve">Default list excludes Cancelled</t>
  </si>
  <si>
    <t xml:space="preserve">Workspace has 10 active + 4 cancelled tasks</t>
  </si>
  <si>
    <t xml:space="preserve">Default page returns 10; cancelled excluded</t>
  </si>
  <si>
    <t xml:space="preserve">TC099</t>
  </si>
  <si>
    <t xml:space="preserve">Filter status=CANCELLED returns cancelled tasks</t>
  </si>
  <si>
    <t xml:space="preserve">?status=CANCELLED</t>
  </si>
  <si>
    <t xml:space="preserve">Only cancelled tasks returned; explicit filter required</t>
  </si>
  <si>
    <t xml:space="preserve">TC100</t>
  </si>
  <si>
    <t xml:space="preserve">Recurring task list excludes cancelled by default</t>
  </si>
  <si>
    <t xml:space="preserve">Recurring job with 6 tasks, 2 cancelled</t>
  </si>
  <si>
    <t xml:space="preserve">Default returns 4 recurring tasks; cancelled excluded</t>
  </si>
  <si>
    <t xml:space="preserve">TC101</t>
  </si>
  <si>
    <t xml:space="preserve">Job task counts on detail page exclude cancelled</t>
  </si>
  <si>
    <t xml:space="preserve">Recurring job mid-cycle, 2 visits cancelled</t>
  </si>
  <si>
    <t xml:space="preserve">taskCounts.total and statusInfo.totalTasksCount both exclude cancelled</t>
  </si>
  <si>
    <t xml:space="preserve">Recurring Service (SLA) — API Test Plan</t>
  </si>
  <si>
    <t xml:space="preserve">Total cases</t>
  </si>
  <si>
    <t xml:space="preserve">Passed</t>
  </si>
  <si>
    <t xml:space="preserve">Failed</t>
  </si>
  <si>
    <t xml:space="preserve">Pass rate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</si>
</sst>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8"/>
    <col collapsed="false" customWidth="true" hidden="false" outlineLevel="0" max="3" min="3" style="1" width="9"/>
    <col collapsed="false" customWidth="true" hidden="false" outlineLevel="0" max="4" min="4" style="1" width="48"/>
    <col collapsed="false" customWidth="true" hidden="false" outlineLevel="0" max="5" min="5" style="1" width="11"/>
    <col collapsed="false" customWidth="true" hidden="false" outlineLevel="0" max="6" min="6" style="1" width="62"/>
    <col collapsed="false" customWidth="true" hidden="false" outlineLevel="0" max="7" min="7" style="1" width="15"/>
    <col collapsed="false" customWidth="true" hidden="false" outlineLevel="0" max="8" min="8" style="1" width="62"/>
    <col collapsed="false" customWidth="true" hidden="false" outlineLevel="0" max="9" min="9" style="1" width="11"/>
  </cols>
  <sheetData>
    <row r="1" customFormat="false" ht="26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23.25" hidden="false" customHeight="tru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4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customFormat="false" ht="15" hidden="false" customHeight="true" outlineLevel="0" collapsed="false">
      <c r="A3" s="3" t="s">
        <v>18</v>
      </c>
      <c r="B3" s="3" t="s">
        <v>10</v>
      </c>
      <c r="C3" s="3" t="s">
        <v>11</v>
      </c>
      <c r="D3" s="3" t="s">
        <v>19</v>
      </c>
      <c r="E3" s="4" t="s">
        <v>13</v>
      </c>
      <c r="F3" s="3" t="s">
        <v>20</v>
      </c>
      <c r="G3" s="3" t="s">
        <v>15</v>
      </c>
      <c r="H3" s="3" t="s">
        <v>21</v>
      </c>
      <c r="I3" s="3" t="s">
        <v>17</v>
      </c>
    </row>
    <row r="4" customFormat="false" ht="23.25" hidden="false" customHeight="true" outlineLevel="0" collapsed="false">
      <c r="A4" s="3" t="s">
        <v>22</v>
      </c>
      <c r="B4" s="3" t="s">
        <v>10</v>
      </c>
      <c r="C4" s="3" t="s">
        <v>11</v>
      </c>
      <c r="D4" s="3" t="s">
        <v>23</v>
      </c>
      <c r="E4" s="4" t="s">
        <v>13</v>
      </c>
      <c r="F4" s="3" t="s">
        <v>24</v>
      </c>
      <c r="G4" s="3" t="s">
        <v>15</v>
      </c>
      <c r="H4" s="3" t="s">
        <v>25</v>
      </c>
      <c r="I4" s="3" t="s">
        <v>17</v>
      </c>
    </row>
    <row r="5" customFormat="false" ht="23.25" hidden="false" customHeight="true" outlineLevel="0" collapsed="false">
      <c r="A5" s="3" t="s">
        <v>26</v>
      </c>
      <c r="B5" s="3" t="s">
        <v>10</v>
      </c>
      <c r="C5" s="3" t="s">
        <v>11</v>
      </c>
      <c r="D5" s="3" t="s">
        <v>27</v>
      </c>
      <c r="E5" s="4" t="s">
        <v>13</v>
      </c>
      <c r="F5" s="3" t="s">
        <v>28</v>
      </c>
      <c r="G5" s="3" t="s">
        <v>15</v>
      </c>
      <c r="H5" s="3" t="s">
        <v>29</v>
      </c>
      <c r="I5" s="3" t="s">
        <v>17</v>
      </c>
    </row>
    <row r="6" customFormat="false" ht="15" hidden="false" customHeight="true" outlineLevel="0" collapsed="false">
      <c r="A6" s="3" t="s">
        <v>30</v>
      </c>
      <c r="B6" s="3" t="s">
        <v>10</v>
      </c>
      <c r="C6" s="3" t="s">
        <v>11</v>
      </c>
      <c r="D6" s="3" t="s">
        <v>31</v>
      </c>
      <c r="E6" s="4" t="s">
        <v>13</v>
      </c>
      <c r="F6" s="3" t="s">
        <v>32</v>
      </c>
      <c r="G6" s="3" t="s">
        <v>15</v>
      </c>
      <c r="H6" s="3" t="s">
        <v>33</v>
      </c>
      <c r="I6" s="3" t="s">
        <v>17</v>
      </c>
    </row>
    <row r="7" customFormat="false" ht="15" hidden="false" customHeight="true" outlineLevel="0" collapsed="false">
      <c r="A7" s="3" t="s">
        <v>34</v>
      </c>
      <c r="B7" s="3" t="s">
        <v>10</v>
      </c>
      <c r="C7" s="3" t="s">
        <v>11</v>
      </c>
      <c r="D7" s="3" t="s">
        <v>35</v>
      </c>
      <c r="E7" s="4" t="s">
        <v>13</v>
      </c>
      <c r="F7" s="3" t="s">
        <v>36</v>
      </c>
      <c r="G7" s="3" t="s">
        <v>15</v>
      </c>
      <c r="H7" s="3" t="s">
        <v>37</v>
      </c>
      <c r="I7" s="3" t="s">
        <v>17</v>
      </c>
    </row>
    <row r="8" customFormat="false" ht="15" hidden="false" customHeight="true" outlineLevel="0" collapsed="false">
      <c r="A8" s="3" t="s">
        <v>38</v>
      </c>
      <c r="B8" s="3" t="s">
        <v>10</v>
      </c>
      <c r="C8" s="3" t="s">
        <v>11</v>
      </c>
      <c r="D8" s="3" t="s">
        <v>39</v>
      </c>
      <c r="E8" s="4" t="s">
        <v>13</v>
      </c>
      <c r="F8" s="3" t="s">
        <v>40</v>
      </c>
      <c r="G8" s="3" t="s">
        <v>15</v>
      </c>
      <c r="H8" s="3" t="s">
        <v>41</v>
      </c>
      <c r="I8" s="3" t="s">
        <v>17</v>
      </c>
    </row>
    <row r="9" customFormat="false" ht="15" hidden="false" customHeight="true" outlineLevel="0" collapsed="false">
      <c r="A9" s="3" t="s">
        <v>42</v>
      </c>
      <c r="B9" s="3" t="s">
        <v>10</v>
      </c>
      <c r="C9" s="3" t="s">
        <v>11</v>
      </c>
      <c r="D9" s="3" t="s">
        <v>43</v>
      </c>
      <c r="E9" s="5" t="s">
        <v>44</v>
      </c>
      <c r="F9" s="3" t="s">
        <v>45</v>
      </c>
      <c r="G9" s="3" t="s">
        <v>15</v>
      </c>
      <c r="H9" s="3" t="s">
        <v>46</v>
      </c>
      <c r="I9" s="3" t="s">
        <v>17</v>
      </c>
    </row>
    <row r="10" customFormat="false" ht="15" hidden="false" customHeight="true" outlineLevel="0" collapsed="false">
      <c r="A10" s="3" t="s">
        <v>47</v>
      </c>
      <c r="B10" s="3" t="s">
        <v>10</v>
      </c>
      <c r="C10" s="3" t="s">
        <v>11</v>
      </c>
      <c r="D10" s="3" t="s">
        <v>48</v>
      </c>
      <c r="E10" s="5" t="s">
        <v>44</v>
      </c>
      <c r="F10" s="3" t="s">
        <v>49</v>
      </c>
      <c r="G10" s="3" t="s">
        <v>15</v>
      </c>
      <c r="H10" s="3" t="s">
        <v>50</v>
      </c>
      <c r="I10" s="3" t="s">
        <v>17</v>
      </c>
    </row>
    <row r="11" customFormat="false" ht="15" hidden="false" customHeight="true" outlineLevel="0" collapsed="false">
      <c r="A11" s="3" t="s">
        <v>51</v>
      </c>
      <c r="B11" s="3" t="s">
        <v>10</v>
      </c>
      <c r="C11" s="3" t="s">
        <v>11</v>
      </c>
      <c r="D11" s="3" t="s">
        <v>52</v>
      </c>
      <c r="E11" s="5" t="s">
        <v>44</v>
      </c>
      <c r="F11" s="3" t="s">
        <v>53</v>
      </c>
      <c r="G11" s="3" t="s">
        <v>15</v>
      </c>
      <c r="H11" s="3" t="s">
        <v>54</v>
      </c>
      <c r="I11" s="3" t="s">
        <v>17</v>
      </c>
    </row>
    <row r="12" customFormat="false" ht="15" hidden="false" customHeight="true" outlineLevel="0" collapsed="false">
      <c r="A12" s="3" t="s">
        <v>55</v>
      </c>
      <c r="B12" s="3" t="s">
        <v>10</v>
      </c>
      <c r="C12" s="3" t="s">
        <v>11</v>
      </c>
      <c r="D12" s="3" t="s">
        <v>56</v>
      </c>
      <c r="E12" s="5" t="s">
        <v>44</v>
      </c>
      <c r="F12" s="3" t="s">
        <v>57</v>
      </c>
      <c r="G12" s="3" t="s">
        <v>15</v>
      </c>
      <c r="H12" s="3" t="s">
        <v>58</v>
      </c>
      <c r="I12" s="3" t="s">
        <v>17</v>
      </c>
    </row>
    <row r="13" customFormat="false" ht="23.25" hidden="false" customHeight="true" outlineLevel="0" collapsed="false">
      <c r="A13" s="3" t="s">
        <v>59</v>
      </c>
      <c r="B13" s="3" t="s">
        <v>10</v>
      </c>
      <c r="C13" s="3" t="s">
        <v>11</v>
      </c>
      <c r="D13" s="3" t="s">
        <v>60</v>
      </c>
      <c r="E13" s="5" t="s">
        <v>44</v>
      </c>
      <c r="F13" s="3" t="s">
        <v>61</v>
      </c>
      <c r="G13" s="3" t="s">
        <v>15</v>
      </c>
      <c r="H13" s="3" t="s">
        <v>62</v>
      </c>
      <c r="I13" s="3" t="s">
        <v>17</v>
      </c>
    </row>
    <row r="14" customFormat="false" ht="15" hidden="false" customHeight="true" outlineLevel="0" collapsed="false">
      <c r="A14" s="3" t="s">
        <v>63</v>
      </c>
      <c r="B14" s="3" t="s">
        <v>10</v>
      </c>
      <c r="C14" s="3" t="s">
        <v>11</v>
      </c>
      <c r="D14" s="3" t="s">
        <v>64</v>
      </c>
      <c r="E14" s="6" t="s">
        <v>65</v>
      </c>
      <c r="F14" s="3" t="s">
        <v>66</v>
      </c>
      <c r="G14" s="3" t="s">
        <v>67</v>
      </c>
      <c r="H14" s="3" t="s">
        <v>68</v>
      </c>
      <c r="I14" s="3" t="s">
        <v>17</v>
      </c>
    </row>
    <row r="15" customFormat="false" ht="15" hidden="false" customHeight="true" outlineLevel="0" collapsed="false">
      <c r="A15" s="3" t="s">
        <v>69</v>
      </c>
      <c r="B15" s="3" t="s">
        <v>10</v>
      </c>
      <c r="C15" s="3" t="s">
        <v>11</v>
      </c>
      <c r="D15" s="3" t="s">
        <v>70</v>
      </c>
      <c r="E15" s="6" t="s">
        <v>65</v>
      </c>
      <c r="F15" s="3" t="s">
        <v>71</v>
      </c>
      <c r="G15" s="3" t="s">
        <v>67</v>
      </c>
      <c r="H15" s="3" t="s">
        <v>72</v>
      </c>
      <c r="I15" s="3" t="s">
        <v>17</v>
      </c>
    </row>
    <row r="16" customFormat="false" ht="23.25" hidden="false" customHeight="true" outlineLevel="0" collapsed="false">
      <c r="A16" s="3" t="s">
        <v>73</v>
      </c>
      <c r="B16" s="3" t="s">
        <v>10</v>
      </c>
      <c r="C16" s="3" t="s">
        <v>11</v>
      </c>
      <c r="D16" s="3" t="s">
        <v>74</v>
      </c>
      <c r="E16" s="6" t="s">
        <v>65</v>
      </c>
      <c r="F16" s="3" t="s">
        <v>75</v>
      </c>
      <c r="G16" s="3" t="s">
        <v>67</v>
      </c>
      <c r="H16" s="3" t="s">
        <v>76</v>
      </c>
      <c r="I16" s="3" t="s">
        <v>17</v>
      </c>
    </row>
    <row r="17" customFormat="false" ht="15" hidden="false" customHeight="true" outlineLevel="0" collapsed="false">
      <c r="A17" s="3" t="s">
        <v>77</v>
      </c>
      <c r="B17" s="3" t="s">
        <v>10</v>
      </c>
      <c r="C17" s="3" t="s">
        <v>11</v>
      </c>
      <c r="D17" s="3" t="s">
        <v>78</v>
      </c>
      <c r="E17" s="6" t="s">
        <v>65</v>
      </c>
      <c r="F17" s="3" t="s">
        <v>79</v>
      </c>
      <c r="G17" s="3" t="s">
        <v>67</v>
      </c>
      <c r="H17" s="3" t="s">
        <v>80</v>
      </c>
      <c r="I17" s="3" t="s">
        <v>17</v>
      </c>
    </row>
    <row r="18" customFormat="false" ht="15" hidden="false" customHeight="true" outlineLevel="0" collapsed="false">
      <c r="A18" s="3" t="s">
        <v>81</v>
      </c>
      <c r="B18" s="3" t="s">
        <v>10</v>
      </c>
      <c r="C18" s="3" t="s">
        <v>11</v>
      </c>
      <c r="D18" s="3" t="s">
        <v>82</v>
      </c>
      <c r="E18" s="6" t="s">
        <v>65</v>
      </c>
      <c r="F18" s="3" t="s">
        <v>83</v>
      </c>
      <c r="G18" s="3" t="s">
        <v>67</v>
      </c>
      <c r="H18" s="3" t="s">
        <v>84</v>
      </c>
      <c r="I18" s="3" t="s">
        <v>17</v>
      </c>
    </row>
    <row r="19" customFormat="false" ht="15" hidden="false" customHeight="true" outlineLevel="0" collapsed="false">
      <c r="A19" s="3" t="s">
        <v>85</v>
      </c>
      <c r="B19" s="3" t="s">
        <v>10</v>
      </c>
      <c r="C19" s="3" t="s">
        <v>11</v>
      </c>
      <c r="D19" s="3" t="s">
        <v>86</v>
      </c>
      <c r="E19" s="6" t="s">
        <v>65</v>
      </c>
      <c r="F19" s="3" t="s">
        <v>87</v>
      </c>
      <c r="G19" s="3" t="s">
        <v>67</v>
      </c>
      <c r="H19" s="3" t="s">
        <v>88</v>
      </c>
      <c r="I19" s="3" t="s">
        <v>17</v>
      </c>
    </row>
    <row r="20" customFormat="false" ht="15" hidden="false" customHeight="true" outlineLevel="0" collapsed="false">
      <c r="A20" s="3" t="s">
        <v>89</v>
      </c>
      <c r="B20" s="3" t="s">
        <v>10</v>
      </c>
      <c r="C20" s="3" t="s">
        <v>11</v>
      </c>
      <c r="D20" s="3" t="s">
        <v>90</v>
      </c>
      <c r="E20" s="6" t="s">
        <v>65</v>
      </c>
      <c r="F20" s="3" t="s">
        <v>91</v>
      </c>
      <c r="G20" s="3" t="s">
        <v>67</v>
      </c>
      <c r="H20" s="3" t="s">
        <v>88</v>
      </c>
      <c r="I20" s="3" t="s">
        <v>17</v>
      </c>
    </row>
    <row r="21" customFormat="false" ht="15" hidden="false" customHeight="true" outlineLevel="0" collapsed="false">
      <c r="A21" s="3" t="s">
        <v>92</v>
      </c>
      <c r="B21" s="3" t="s">
        <v>10</v>
      </c>
      <c r="C21" s="3" t="s">
        <v>11</v>
      </c>
      <c r="D21" s="3" t="s">
        <v>93</v>
      </c>
      <c r="E21" s="6" t="s">
        <v>65</v>
      </c>
      <c r="F21" s="3" t="s">
        <v>94</v>
      </c>
      <c r="G21" s="3" t="s">
        <v>67</v>
      </c>
      <c r="H21" s="3" t="s">
        <v>88</v>
      </c>
      <c r="I21" s="3" t="s">
        <v>17</v>
      </c>
    </row>
    <row r="22" customFormat="false" ht="15" hidden="false" customHeight="true" outlineLevel="0" collapsed="false">
      <c r="A22" s="3" t="s">
        <v>95</v>
      </c>
      <c r="B22" s="3" t="s">
        <v>10</v>
      </c>
      <c r="C22" s="3" t="s">
        <v>11</v>
      </c>
      <c r="D22" s="3" t="s">
        <v>96</v>
      </c>
      <c r="E22" s="6" t="s">
        <v>65</v>
      </c>
      <c r="F22" s="3" t="s">
        <v>97</v>
      </c>
      <c r="G22" s="3" t="s">
        <v>67</v>
      </c>
      <c r="H22" s="3" t="s">
        <v>98</v>
      </c>
      <c r="I22" s="3" t="s">
        <v>17</v>
      </c>
    </row>
    <row r="23" customFormat="false" ht="15" hidden="false" customHeight="true" outlineLevel="0" collapsed="false">
      <c r="A23" s="3" t="s">
        <v>99</v>
      </c>
      <c r="B23" s="3" t="s">
        <v>10</v>
      </c>
      <c r="C23" s="3" t="s">
        <v>11</v>
      </c>
      <c r="D23" s="3" t="s">
        <v>100</v>
      </c>
      <c r="E23" s="6" t="s">
        <v>65</v>
      </c>
      <c r="F23" s="3" t="s">
        <v>101</v>
      </c>
      <c r="G23" s="3" t="s">
        <v>67</v>
      </c>
      <c r="H23" s="3" t="s">
        <v>98</v>
      </c>
      <c r="I23" s="3" t="s">
        <v>17</v>
      </c>
    </row>
    <row r="24" customFormat="false" ht="15" hidden="false" customHeight="true" outlineLevel="0" collapsed="false">
      <c r="A24" s="3" t="s">
        <v>102</v>
      </c>
      <c r="B24" s="3" t="s">
        <v>10</v>
      </c>
      <c r="C24" s="3" t="s">
        <v>11</v>
      </c>
      <c r="D24" s="3" t="s">
        <v>103</v>
      </c>
      <c r="E24" s="6" t="s">
        <v>65</v>
      </c>
      <c r="F24" s="3" t="s">
        <v>104</v>
      </c>
      <c r="G24" s="3" t="s">
        <v>67</v>
      </c>
      <c r="H24" s="3" t="s">
        <v>105</v>
      </c>
      <c r="I24" s="3" t="s">
        <v>17</v>
      </c>
    </row>
    <row r="25" customFormat="false" ht="15" hidden="false" customHeight="true" outlineLevel="0" collapsed="false">
      <c r="A25" s="3" t="s">
        <v>106</v>
      </c>
      <c r="B25" s="3" t="s">
        <v>10</v>
      </c>
      <c r="C25" s="3" t="s">
        <v>11</v>
      </c>
      <c r="D25" s="3" t="s">
        <v>107</v>
      </c>
      <c r="E25" s="6" t="s">
        <v>65</v>
      </c>
      <c r="F25" s="3" t="s">
        <v>108</v>
      </c>
      <c r="G25" s="3" t="s">
        <v>67</v>
      </c>
      <c r="H25" s="3" t="s">
        <v>109</v>
      </c>
      <c r="I25" s="3" t="s">
        <v>17</v>
      </c>
    </row>
    <row r="26" customFormat="false" ht="15" hidden="false" customHeight="true" outlineLevel="0" collapsed="false">
      <c r="A26" s="3" t="s">
        <v>110</v>
      </c>
      <c r="B26" s="3" t="s">
        <v>10</v>
      </c>
      <c r="C26" s="3" t="s">
        <v>11</v>
      </c>
      <c r="D26" s="3" t="s">
        <v>111</v>
      </c>
      <c r="E26" s="6" t="s">
        <v>65</v>
      </c>
      <c r="F26" s="3" t="s">
        <v>112</v>
      </c>
      <c r="G26" s="3" t="s">
        <v>67</v>
      </c>
      <c r="H26" s="3" t="s">
        <v>113</v>
      </c>
      <c r="I26" s="3" t="s">
        <v>17</v>
      </c>
    </row>
    <row r="27" customFormat="false" ht="15" hidden="false" customHeight="true" outlineLevel="0" collapsed="false">
      <c r="A27" s="3" t="s">
        <v>114</v>
      </c>
      <c r="B27" s="3" t="s">
        <v>10</v>
      </c>
      <c r="C27" s="3" t="s">
        <v>11</v>
      </c>
      <c r="D27" s="3" t="s">
        <v>115</v>
      </c>
      <c r="E27" s="6" t="s">
        <v>65</v>
      </c>
      <c r="F27" s="3" t="s">
        <v>116</v>
      </c>
      <c r="G27" s="3" t="s">
        <v>117</v>
      </c>
      <c r="H27" s="3" t="s">
        <v>118</v>
      </c>
      <c r="I27" s="3" t="s">
        <v>17</v>
      </c>
    </row>
    <row r="28" customFormat="false" ht="15" hidden="false" customHeight="true" outlineLevel="0" collapsed="false">
      <c r="A28" s="3" t="s">
        <v>119</v>
      </c>
      <c r="B28" s="3" t="s">
        <v>10</v>
      </c>
      <c r="C28" s="3" t="s">
        <v>11</v>
      </c>
      <c r="D28" s="3" t="s">
        <v>120</v>
      </c>
      <c r="E28" s="6" t="s">
        <v>65</v>
      </c>
      <c r="F28" s="3" t="s">
        <v>121</v>
      </c>
      <c r="G28" s="3" t="s">
        <v>67</v>
      </c>
      <c r="H28" s="3" t="s">
        <v>122</v>
      </c>
      <c r="I28" s="3" t="s">
        <v>17</v>
      </c>
    </row>
    <row r="29" customFormat="false" ht="15" hidden="false" customHeight="true" outlineLevel="0" collapsed="false">
      <c r="A29" s="3" t="s">
        <v>123</v>
      </c>
      <c r="B29" s="3" t="s">
        <v>124</v>
      </c>
      <c r="C29" s="3" t="s">
        <v>125</v>
      </c>
      <c r="D29" s="3" t="s">
        <v>126</v>
      </c>
      <c r="E29" s="4" t="s">
        <v>13</v>
      </c>
      <c r="F29" s="3" t="s">
        <v>127</v>
      </c>
      <c r="G29" s="3" t="s">
        <v>128</v>
      </c>
      <c r="H29" s="3" t="s">
        <v>129</v>
      </c>
      <c r="I29" s="3" t="s">
        <v>17</v>
      </c>
    </row>
    <row r="30" customFormat="false" ht="15" hidden="false" customHeight="true" outlineLevel="0" collapsed="false">
      <c r="A30" s="3" t="s">
        <v>130</v>
      </c>
      <c r="B30" s="3" t="s">
        <v>124</v>
      </c>
      <c r="C30" s="3" t="s">
        <v>125</v>
      </c>
      <c r="D30" s="3" t="s">
        <v>131</v>
      </c>
      <c r="E30" s="4" t="s">
        <v>13</v>
      </c>
      <c r="F30" s="3" t="s">
        <v>132</v>
      </c>
      <c r="G30" s="3" t="s">
        <v>128</v>
      </c>
      <c r="H30" s="3" t="s">
        <v>133</v>
      </c>
      <c r="I30" s="3" t="s">
        <v>17</v>
      </c>
    </row>
    <row r="31" customFormat="false" ht="15" hidden="false" customHeight="true" outlineLevel="0" collapsed="false">
      <c r="A31" s="3" t="s">
        <v>134</v>
      </c>
      <c r="B31" s="3" t="s">
        <v>124</v>
      </c>
      <c r="C31" s="3" t="s">
        <v>125</v>
      </c>
      <c r="D31" s="3" t="s">
        <v>135</v>
      </c>
      <c r="E31" s="4" t="s">
        <v>13</v>
      </c>
      <c r="F31" s="3" t="s">
        <v>136</v>
      </c>
      <c r="G31" s="3" t="s">
        <v>128</v>
      </c>
      <c r="H31" s="3" t="s">
        <v>137</v>
      </c>
      <c r="I31" s="3" t="s">
        <v>17</v>
      </c>
    </row>
    <row r="32" customFormat="false" ht="15" hidden="false" customHeight="true" outlineLevel="0" collapsed="false">
      <c r="A32" s="3" t="s">
        <v>138</v>
      </c>
      <c r="B32" s="3" t="s">
        <v>124</v>
      </c>
      <c r="C32" s="3" t="s">
        <v>125</v>
      </c>
      <c r="D32" s="3" t="s">
        <v>139</v>
      </c>
      <c r="E32" s="5" t="s">
        <v>44</v>
      </c>
      <c r="F32" s="3" t="s">
        <v>140</v>
      </c>
      <c r="G32" s="3" t="s">
        <v>128</v>
      </c>
      <c r="H32" s="3" t="s">
        <v>141</v>
      </c>
      <c r="I32" s="3" t="s">
        <v>17</v>
      </c>
    </row>
    <row r="33" customFormat="false" ht="15" hidden="false" customHeight="true" outlineLevel="0" collapsed="false">
      <c r="A33" s="3" t="s">
        <v>142</v>
      </c>
      <c r="B33" s="3" t="s">
        <v>124</v>
      </c>
      <c r="C33" s="3" t="s">
        <v>125</v>
      </c>
      <c r="D33" s="3" t="s">
        <v>143</v>
      </c>
      <c r="E33" s="6" t="s">
        <v>65</v>
      </c>
      <c r="F33" s="3" t="s">
        <v>112</v>
      </c>
      <c r="G33" s="3" t="s">
        <v>67</v>
      </c>
      <c r="H33" s="3" t="s">
        <v>144</v>
      </c>
      <c r="I33" s="3" t="s">
        <v>17</v>
      </c>
    </row>
    <row r="34" customFormat="false" ht="15" hidden="false" customHeight="true" outlineLevel="0" collapsed="false">
      <c r="A34" s="3" t="s">
        <v>145</v>
      </c>
      <c r="B34" s="3" t="s">
        <v>124</v>
      </c>
      <c r="C34" s="3" t="s">
        <v>125</v>
      </c>
      <c r="D34" s="3" t="s">
        <v>146</v>
      </c>
      <c r="E34" s="6" t="s">
        <v>65</v>
      </c>
      <c r="F34" s="3" t="s">
        <v>147</v>
      </c>
      <c r="G34" s="3" t="s">
        <v>148</v>
      </c>
      <c r="H34" s="3" t="s">
        <v>149</v>
      </c>
      <c r="I34" s="3" t="s">
        <v>17</v>
      </c>
    </row>
    <row r="35" customFormat="false" ht="15" hidden="false" customHeight="true" outlineLevel="0" collapsed="false">
      <c r="A35" s="3" t="s">
        <v>150</v>
      </c>
      <c r="B35" s="3" t="s">
        <v>124</v>
      </c>
      <c r="C35" s="3" t="s">
        <v>125</v>
      </c>
      <c r="D35" s="3" t="s">
        <v>151</v>
      </c>
      <c r="E35" s="6" t="s">
        <v>65</v>
      </c>
      <c r="F35" s="3" t="s">
        <v>152</v>
      </c>
      <c r="G35" s="3" t="s">
        <v>153</v>
      </c>
      <c r="H35" s="3" t="s">
        <v>154</v>
      </c>
      <c r="I35" s="3" t="s">
        <v>17</v>
      </c>
    </row>
    <row r="36" customFormat="false" ht="15" hidden="false" customHeight="true" outlineLevel="0" collapsed="false">
      <c r="A36" s="3" t="s">
        <v>155</v>
      </c>
      <c r="B36" s="3" t="s">
        <v>124</v>
      </c>
      <c r="C36" s="3" t="s">
        <v>125</v>
      </c>
      <c r="D36" s="3" t="s">
        <v>156</v>
      </c>
      <c r="E36" s="6" t="s">
        <v>65</v>
      </c>
      <c r="F36" s="3" t="s">
        <v>157</v>
      </c>
      <c r="G36" s="3" t="s">
        <v>67</v>
      </c>
      <c r="H36" s="3" t="s">
        <v>158</v>
      </c>
      <c r="I36" s="3" t="s">
        <v>17</v>
      </c>
    </row>
    <row r="37" customFormat="false" ht="15" hidden="false" customHeight="true" outlineLevel="0" collapsed="false">
      <c r="A37" s="3" t="s">
        <v>159</v>
      </c>
      <c r="B37" s="3" t="s">
        <v>124</v>
      </c>
      <c r="C37" s="3" t="s">
        <v>160</v>
      </c>
      <c r="D37" s="3" t="s">
        <v>161</v>
      </c>
      <c r="E37" s="4" t="s">
        <v>13</v>
      </c>
      <c r="F37" s="3" t="s">
        <v>162</v>
      </c>
      <c r="G37" s="3" t="s">
        <v>128</v>
      </c>
      <c r="H37" s="3" t="s">
        <v>163</v>
      </c>
      <c r="I37" s="3" t="s">
        <v>17</v>
      </c>
    </row>
    <row r="38" customFormat="false" ht="15" hidden="false" customHeight="true" outlineLevel="0" collapsed="false">
      <c r="A38" s="3" t="s">
        <v>164</v>
      </c>
      <c r="B38" s="3" t="s">
        <v>124</v>
      </c>
      <c r="C38" s="3" t="s">
        <v>160</v>
      </c>
      <c r="D38" s="3" t="s">
        <v>165</v>
      </c>
      <c r="E38" s="4" t="s">
        <v>13</v>
      </c>
      <c r="F38" s="3" t="s">
        <v>166</v>
      </c>
      <c r="G38" s="3" t="s">
        <v>128</v>
      </c>
      <c r="H38" s="3" t="s">
        <v>167</v>
      </c>
      <c r="I38" s="3" t="s">
        <v>17</v>
      </c>
    </row>
    <row r="39" customFormat="false" ht="15" hidden="false" customHeight="true" outlineLevel="0" collapsed="false">
      <c r="A39" s="3" t="s">
        <v>168</v>
      </c>
      <c r="B39" s="3" t="s">
        <v>124</v>
      </c>
      <c r="C39" s="3" t="s">
        <v>160</v>
      </c>
      <c r="D39" s="3" t="s">
        <v>169</v>
      </c>
      <c r="E39" s="6" t="s">
        <v>65</v>
      </c>
      <c r="F39" s="3" t="s">
        <v>66</v>
      </c>
      <c r="G39" s="3" t="s">
        <v>67</v>
      </c>
      <c r="H39" s="3" t="s">
        <v>158</v>
      </c>
      <c r="I39" s="3" t="s">
        <v>17</v>
      </c>
    </row>
    <row r="40" customFormat="false" ht="15" hidden="false" customHeight="true" outlineLevel="0" collapsed="false">
      <c r="A40" s="3" t="s">
        <v>170</v>
      </c>
      <c r="B40" s="3" t="s">
        <v>124</v>
      </c>
      <c r="C40" s="3" t="s">
        <v>160</v>
      </c>
      <c r="D40" s="3" t="s">
        <v>171</v>
      </c>
      <c r="E40" s="6" t="s">
        <v>65</v>
      </c>
      <c r="F40" s="3" t="s">
        <v>112</v>
      </c>
      <c r="G40" s="3" t="s">
        <v>67</v>
      </c>
      <c r="H40" s="3" t="s">
        <v>144</v>
      </c>
      <c r="I40" s="3" t="s">
        <v>17</v>
      </c>
    </row>
    <row r="41" customFormat="false" ht="23.25" hidden="false" customHeight="true" outlineLevel="0" collapsed="false">
      <c r="A41" s="3" t="s">
        <v>172</v>
      </c>
      <c r="B41" s="3" t="s">
        <v>124</v>
      </c>
      <c r="C41" s="3" t="s">
        <v>173</v>
      </c>
      <c r="D41" s="3" t="s">
        <v>174</v>
      </c>
      <c r="E41" s="4" t="s">
        <v>13</v>
      </c>
      <c r="F41" s="3" t="s">
        <v>175</v>
      </c>
      <c r="G41" s="3" t="s">
        <v>128</v>
      </c>
      <c r="H41" s="3" t="s">
        <v>176</v>
      </c>
      <c r="I41" s="3" t="s">
        <v>17</v>
      </c>
    </row>
    <row r="42" customFormat="false" ht="15" hidden="false" customHeight="true" outlineLevel="0" collapsed="false">
      <c r="A42" s="3" t="s">
        <v>177</v>
      </c>
      <c r="B42" s="3" t="s">
        <v>124</v>
      </c>
      <c r="C42" s="3" t="s">
        <v>173</v>
      </c>
      <c r="D42" s="3" t="s">
        <v>178</v>
      </c>
      <c r="E42" s="4" t="s">
        <v>13</v>
      </c>
      <c r="F42" s="3" t="s">
        <v>179</v>
      </c>
      <c r="G42" s="3" t="s">
        <v>128</v>
      </c>
      <c r="H42" s="3" t="s">
        <v>180</v>
      </c>
      <c r="I42" s="3" t="s">
        <v>17</v>
      </c>
    </row>
    <row r="43" customFormat="false" ht="15" hidden="false" customHeight="true" outlineLevel="0" collapsed="false">
      <c r="A43" s="3" t="s">
        <v>181</v>
      </c>
      <c r="B43" s="3" t="s">
        <v>124</v>
      </c>
      <c r="C43" s="3" t="s">
        <v>173</v>
      </c>
      <c r="D43" s="3" t="s">
        <v>182</v>
      </c>
      <c r="E43" s="5" t="s">
        <v>44</v>
      </c>
      <c r="F43" s="3" t="s">
        <v>183</v>
      </c>
      <c r="G43" s="3" t="s">
        <v>128</v>
      </c>
      <c r="H43" s="3" t="s">
        <v>184</v>
      </c>
      <c r="I43" s="3" t="s">
        <v>17</v>
      </c>
    </row>
    <row r="44" customFormat="false" ht="15" hidden="false" customHeight="true" outlineLevel="0" collapsed="false">
      <c r="A44" s="3" t="s">
        <v>185</v>
      </c>
      <c r="B44" s="3" t="s">
        <v>124</v>
      </c>
      <c r="C44" s="3" t="s">
        <v>173</v>
      </c>
      <c r="D44" s="3" t="s">
        <v>146</v>
      </c>
      <c r="E44" s="6" t="s">
        <v>65</v>
      </c>
      <c r="F44" s="3" t="s">
        <v>186</v>
      </c>
      <c r="G44" s="3" t="s">
        <v>148</v>
      </c>
      <c r="H44" s="3" t="s">
        <v>149</v>
      </c>
      <c r="I44" s="3" t="s">
        <v>17</v>
      </c>
    </row>
    <row r="45" customFormat="false" ht="15" hidden="false" customHeight="true" outlineLevel="0" collapsed="false">
      <c r="A45" s="3" t="s">
        <v>187</v>
      </c>
      <c r="B45" s="3" t="s">
        <v>124</v>
      </c>
      <c r="C45" s="3" t="s">
        <v>173</v>
      </c>
      <c r="D45" s="3" t="s">
        <v>115</v>
      </c>
      <c r="E45" s="6" t="s">
        <v>65</v>
      </c>
      <c r="F45" s="3" t="s">
        <v>188</v>
      </c>
      <c r="G45" s="3" t="s">
        <v>117</v>
      </c>
      <c r="H45" s="3" t="s">
        <v>118</v>
      </c>
      <c r="I45" s="3" t="s">
        <v>17</v>
      </c>
    </row>
    <row r="46" customFormat="false" ht="15" hidden="false" customHeight="true" outlineLevel="0" collapsed="false">
      <c r="A46" s="3" t="s">
        <v>189</v>
      </c>
      <c r="B46" s="3" t="s">
        <v>10</v>
      </c>
      <c r="C46" s="3" t="s">
        <v>173</v>
      </c>
      <c r="D46" s="3" t="s">
        <v>190</v>
      </c>
      <c r="E46" s="4" t="s">
        <v>13</v>
      </c>
      <c r="F46" s="3" t="s">
        <v>191</v>
      </c>
      <c r="G46" s="3" t="s">
        <v>128</v>
      </c>
      <c r="H46" s="3" t="s">
        <v>192</v>
      </c>
      <c r="I46" s="3" t="s">
        <v>17</v>
      </c>
    </row>
    <row r="47" customFormat="false" ht="15" hidden="false" customHeight="true" outlineLevel="0" collapsed="false">
      <c r="A47" s="3" t="s">
        <v>193</v>
      </c>
      <c r="B47" s="3" t="s">
        <v>10</v>
      </c>
      <c r="C47" s="3" t="s">
        <v>173</v>
      </c>
      <c r="D47" s="3" t="s">
        <v>194</v>
      </c>
      <c r="E47" s="5" t="s">
        <v>44</v>
      </c>
      <c r="F47" s="3" t="s">
        <v>195</v>
      </c>
      <c r="G47" s="3" t="s">
        <v>128</v>
      </c>
      <c r="H47" s="3" t="s">
        <v>196</v>
      </c>
      <c r="I47" s="3" t="s">
        <v>17</v>
      </c>
    </row>
    <row r="48" customFormat="false" ht="15" hidden="false" customHeight="true" outlineLevel="0" collapsed="false">
      <c r="A48" s="3" t="s">
        <v>197</v>
      </c>
      <c r="B48" s="3" t="s">
        <v>10</v>
      </c>
      <c r="C48" s="3" t="s">
        <v>173</v>
      </c>
      <c r="D48" s="3" t="s">
        <v>198</v>
      </c>
      <c r="E48" s="5" t="s">
        <v>44</v>
      </c>
      <c r="F48" s="3" t="s">
        <v>199</v>
      </c>
      <c r="G48" s="3" t="s">
        <v>128</v>
      </c>
      <c r="H48" s="3" t="s">
        <v>200</v>
      </c>
      <c r="I48" s="3" t="s">
        <v>17</v>
      </c>
    </row>
    <row r="49" customFormat="false" ht="15" hidden="false" customHeight="true" outlineLevel="0" collapsed="false">
      <c r="A49" s="3" t="s">
        <v>201</v>
      </c>
      <c r="B49" s="3" t="s">
        <v>202</v>
      </c>
      <c r="C49" s="3" t="s">
        <v>173</v>
      </c>
      <c r="D49" s="3" t="s">
        <v>203</v>
      </c>
      <c r="E49" s="4" t="s">
        <v>13</v>
      </c>
      <c r="F49" s="3" t="s">
        <v>204</v>
      </c>
      <c r="G49" s="3" t="s">
        <v>128</v>
      </c>
      <c r="H49" s="3" t="s">
        <v>205</v>
      </c>
      <c r="I49" s="3" t="s">
        <v>17</v>
      </c>
    </row>
    <row r="50" customFormat="false" ht="15" hidden="false" customHeight="true" outlineLevel="0" collapsed="false">
      <c r="A50" s="3" t="s">
        <v>206</v>
      </c>
      <c r="B50" s="3" t="s">
        <v>202</v>
      </c>
      <c r="C50" s="3" t="s">
        <v>173</v>
      </c>
      <c r="D50" s="3" t="s">
        <v>207</v>
      </c>
      <c r="E50" s="4" t="s">
        <v>13</v>
      </c>
      <c r="F50" s="3" t="s">
        <v>208</v>
      </c>
      <c r="G50" s="3" t="s">
        <v>128</v>
      </c>
      <c r="H50" s="3" t="s">
        <v>209</v>
      </c>
      <c r="I50" s="3" t="s">
        <v>17</v>
      </c>
    </row>
    <row r="51" customFormat="false" ht="15" hidden="false" customHeight="true" outlineLevel="0" collapsed="false">
      <c r="A51" s="3" t="s">
        <v>210</v>
      </c>
      <c r="B51" s="3" t="s">
        <v>202</v>
      </c>
      <c r="C51" s="3" t="s">
        <v>173</v>
      </c>
      <c r="D51" s="3" t="s">
        <v>211</v>
      </c>
      <c r="E51" s="4" t="s">
        <v>13</v>
      </c>
      <c r="F51" s="3" t="s">
        <v>212</v>
      </c>
      <c r="G51" s="3" t="s">
        <v>128</v>
      </c>
      <c r="H51" s="3" t="s">
        <v>213</v>
      </c>
      <c r="I51" s="3" t="s">
        <v>17</v>
      </c>
    </row>
    <row r="52" customFormat="false" ht="15" hidden="false" customHeight="true" outlineLevel="0" collapsed="false">
      <c r="A52" s="3" t="s">
        <v>214</v>
      </c>
      <c r="B52" s="3" t="s">
        <v>202</v>
      </c>
      <c r="C52" s="3" t="s">
        <v>173</v>
      </c>
      <c r="D52" s="3" t="s">
        <v>215</v>
      </c>
      <c r="E52" s="5" t="s">
        <v>44</v>
      </c>
      <c r="F52" s="3" t="s">
        <v>216</v>
      </c>
      <c r="G52" s="3" t="s">
        <v>128</v>
      </c>
      <c r="H52" s="3" t="s">
        <v>196</v>
      </c>
      <c r="I52" s="3" t="s">
        <v>17</v>
      </c>
    </row>
    <row r="53" customFormat="false" ht="15" hidden="false" customHeight="true" outlineLevel="0" collapsed="false">
      <c r="A53" s="3" t="s">
        <v>217</v>
      </c>
      <c r="B53" s="3" t="s">
        <v>202</v>
      </c>
      <c r="C53" s="3" t="s">
        <v>173</v>
      </c>
      <c r="D53" s="3" t="s">
        <v>218</v>
      </c>
      <c r="E53" s="6" t="s">
        <v>65</v>
      </c>
      <c r="F53" s="3" t="s">
        <v>219</v>
      </c>
      <c r="G53" s="3" t="s">
        <v>67</v>
      </c>
      <c r="H53" s="3" t="s">
        <v>88</v>
      </c>
      <c r="I53" s="3" t="s">
        <v>17</v>
      </c>
    </row>
    <row r="54" customFormat="false" ht="15" hidden="false" customHeight="true" outlineLevel="0" collapsed="false">
      <c r="A54" s="3" t="s">
        <v>220</v>
      </c>
      <c r="B54" s="3" t="s">
        <v>202</v>
      </c>
      <c r="C54" s="3" t="s">
        <v>173</v>
      </c>
      <c r="D54" s="3" t="s">
        <v>221</v>
      </c>
      <c r="E54" s="5" t="s">
        <v>44</v>
      </c>
      <c r="F54" s="3" t="s">
        <v>222</v>
      </c>
      <c r="G54" s="3" t="s">
        <v>128</v>
      </c>
      <c r="H54" s="3" t="s">
        <v>223</v>
      </c>
      <c r="I54" s="3" t="s">
        <v>17</v>
      </c>
    </row>
    <row r="55" customFormat="false" ht="15" hidden="false" customHeight="true" outlineLevel="0" collapsed="false">
      <c r="A55" s="3" t="s">
        <v>224</v>
      </c>
      <c r="B55" s="3" t="s">
        <v>225</v>
      </c>
      <c r="C55" s="3" t="s">
        <v>173</v>
      </c>
      <c r="D55" s="3" t="s">
        <v>226</v>
      </c>
      <c r="E55" s="4" t="s">
        <v>13</v>
      </c>
      <c r="F55" s="3" t="s">
        <v>227</v>
      </c>
      <c r="G55" s="3" t="s">
        <v>128</v>
      </c>
      <c r="H55" s="3" t="s">
        <v>228</v>
      </c>
      <c r="I55" s="3" t="s">
        <v>17</v>
      </c>
    </row>
    <row r="56" customFormat="false" ht="15" hidden="false" customHeight="true" outlineLevel="0" collapsed="false">
      <c r="A56" s="3" t="s">
        <v>229</v>
      </c>
      <c r="B56" s="3" t="s">
        <v>225</v>
      </c>
      <c r="C56" s="3" t="s">
        <v>173</v>
      </c>
      <c r="D56" s="3" t="s">
        <v>230</v>
      </c>
      <c r="E56" s="4" t="s">
        <v>13</v>
      </c>
      <c r="F56" s="3" t="s">
        <v>231</v>
      </c>
      <c r="G56" s="3" t="s">
        <v>128</v>
      </c>
      <c r="H56" s="3" t="s">
        <v>232</v>
      </c>
      <c r="I56" s="3" t="s">
        <v>17</v>
      </c>
    </row>
    <row r="57" customFormat="false" ht="15" hidden="false" customHeight="true" outlineLevel="0" collapsed="false">
      <c r="A57" s="3" t="s">
        <v>233</v>
      </c>
      <c r="B57" s="3" t="s">
        <v>225</v>
      </c>
      <c r="C57" s="3" t="s">
        <v>173</v>
      </c>
      <c r="D57" s="3" t="s">
        <v>234</v>
      </c>
      <c r="E57" s="5" t="s">
        <v>44</v>
      </c>
      <c r="F57" s="3" t="s">
        <v>235</v>
      </c>
      <c r="G57" s="3" t="s">
        <v>128</v>
      </c>
      <c r="H57" s="3" t="s">
        <v>236</v>
      </c>
      <c r="I57" s="3" t="s">
        <v>17</v>
      </c>
    </row>
    <row r="58" customFormat="false" ht="15" hidden="false" customHeight="true" outlineLevel="0" collapsed="false">
      <c r="A58" s="3" t="s">
        <v>237</v>
      </c>
      <c r="B58" s="3" t="s">
        <v>225</v>
      </c>
      <c r="C58" s="3" t="s">
        <v>173</v>
      </c>
      <c r="D58" s="3" t="s">
        <v>238</v>
      </c>
      <c r="E58" s="5" t="s">
        <v>44</v>
      </c>
      <c r="F58" s="3" t="s">
        <v>239</v>
      </c>
      <c r="G58" s="3" t="s">
        <v>128</v>
      </c>
      <c r="H58" s="3" t="s">
        <v>240</v>
      </c>
      <c r="I58" s="3" t="s">
        <v>17</v>
      </c>
    </row>
    <row r="59" customFormat="false" ht="15" hidden="false" customHeight="true" outlineLevel="0" collapsed="false">
      <c r="A59" s="3" t="s">
        <v>241</v>
      </c>
      <c r="B59" s="3" t="s">
        <v>225</v>
      </c>
      <c r="C59" s="3" t="s">
        <v>173</v>
      </c>
      <c r="D59" s="3" t="s">
        <v>242</v>
      </c>
      <c r="E59" s="5" t="s">
        <v>44</v>
      </c>
      <c r="F59" s="3" t="s">
        <v>243</v>
      </c>
      <c r="G59" s="3" t="s">
        <v>128</v>
      </c>
      <c r="H59" s="3" t="s">
        <v>244</v>
      </c>
      <c r="I59" s="3" t="s">
        <v>17</v>
      </c>
    </row>
    <row r="60" customFormat="false" ht="15" hidden="false" customHeight="true" outlineLevel="0" collapsed="false">
      <c r="A60" s="3" t="s">
        <v>245</v>
      </c>
      <c r="B60" s="3" t="s">
        <v>225</v>
      </c>
      <c r="C60" s="3" t="s">
        <v>173</v>
      </c>
      <c r="D60" s="3" t="s">
        <v>246</v>
      </c>
      <c r="E60" s="6" t="s">
        <v>65</v>
      </c>
      <c r="F60" s="3" t="s">
        <v>247</v>
      </c>
      <c r="G60" s="3" t="s">
        <v>148</v>
      </c>
      <c r="H60" s="3" t="s">
        <v>248</v>
      </c>
      <c r="I60" s="3" t="s">
        <v>17</v>
      </c>
    </row>
    <row r="61" customFormat="false" ht="15" hidden="false" customHeight="true" outlineLevel="0" collapsed="false">
      <c r="A61" s="3" t="s">
        <v>249</v>
      </c>
      <c r="B61" s="3" t="s">
        <v>250</v>
      </c>
      <c r="C61" s="3" t="s">
        <v>173</v>
      </c>
      <c r="D61" s="3" t="s">
        <v>251</v>
      </c>
      <c r="E61" s="4" t="s">
        <v>13</v>
      </c>
      <c r="F61" s="3" t="s">
        <v>252</v>
      </c>
      <c r="G61" s="3" t="s">
        <v>128</v>
      </c>
      <c r="H61" s="3" t="s">
        <v>253</v>
      </c>
      <c r="I61" s="3" t="s">
        <v>17</v>
      </c>
    </row>
    <row r="62" customFormat="false" ht="15" hidden="false" customHeight="true" outlineLevel="0" collapsed="false">
      <c r="A62" s="3" t="s">
        <v>254</v>
      </c>
      <c r="B62" s="3" t="s">
        <v>250</v>
      </c>
      <c r="C62" s="3" t="s">
        <v>173</v>
      </c>
      <c r="D62" s="3" t="s">
        <v>255</v>
      </c>
      <c r="E62" s="5" t="s">
        <v>44</v>
      </c>
      <c r="F62" s="3" t="s">
        <v>256</v>
      </c>
      <c r="G62" s="3" t="s">
        <v>128</v>
      </c>
      <c r="H62" s="3" t="s">
        <v>196</v>
      </c>
      <c r="I62" s="3" t="s">
        <v>17</v>
      </c>
    </row>
    <row r="63" customFormat="false" ht="23.25" hidden="false" customHeight="true" outlineLevel="0" collapsed="false">
      <c r="A63" s="3" t="s">
        <v>257</v>
      </c>
      <c r="B63" s="3" t="s">
        <v>250</v>
      </c>
      <c r="C63" s="3" t="s">
        <v>11</v>
      </c>
      <c r="D63" s="3" t="s">
        <v>258</v>
      </c>
      <c r="E63" s="4" t="s">
        <v>13</v>
      </c>
      <c r="F63" s="3" t="s">
        <v>259</v>
      </c>
      <c r="G63" s="3" t="s">
        <v>15</v>
      </c>
      <c r="H63" s="3" t="s">
        <v>260</v>
      </c>
      <c r="I63" s="3" t="s">
        <v>17</v>
      </c>
    </row>
    <row r="64" customFormat="false" ht="15" hidden="false" customHeight="true" outlineLevel="0" collapsed="false">
      <c r="A64" s="3" t="s">
        <v>261</v>
      </c>
      <c r="B64" s="3" t="s">
        <v>250</v>
      </c>
      <c r="C64" s="3" t="s">
        <v>11</v>
      </c>
      <c r="D64" s="3" t="s">
        <v>262</v>
      </c>
      <c r="E64" s="4" t="s">
        <v>13</v>
      </c>
      <c r="F64" s="3" t="s">
        <v>263</v>
      </c>
      <c r="G64" s="3" t="s">
        <v>15</v>
      </c>
      <c r="H64" s="3" t="s">
        <v>264</v>
      </c>
      <c r="I64" s="3" t="s">
        <v>17</v>
      </c>
    </row>
    <row r="65" customFormat="false" ht="15" hidden="false" customHeight="true" outlineLevel="0" collapsed="false">
      <c r="A65" s="3" t="s">
        <v>265</v>
      </c>
      <c r="B65" s="3" t="s">
        <v>250</v>
      </c>
      <c r="C65" s="3" t="s">
        <v>11</v>
      </c>
      <c r="D65" s="3" t="s">
        <v>266</v>
      </c>
      <c r="E65" s="4" t="s">
        <v>13</v>
      </c>
      <c r="F65" s="3" t="s">
        <v>267</v>
      </c>
      <c r="G65" s="3" t="s">
        <v>15</v>
      </c>
      <c r="H65" s="3" t="s">
        <v>268</v>
      </c>
      <c r="I65" s="3" t="s">
        <v>17</v>
      </c>
    </row>
    <row r="66" customFormat="false" ht="15" hidden="false" customHeight="true" outlineLevel="0" collapsed="false">
      <c r="A66" s="3" t="s">
        <v>269</v>
      </c>
      <c r="B66" s="3" t="s">
        <v>250</v>
      </c>
      <c r="C66" s="3" t="s">
        <v>11</v>
      </c>
      <c r="D66" s="3" t="s">
        <v>270</v>
      </c>
      <c r="E66" s="6" t="s">
        <v>65</v>
      </c>
      <c r="F66" s="3" t="s">
        <v>271</v>
      </c>
      <c r="G66" s="3" t="s">
        <v>67</v>
      </c>
      <c r="H66" s="3" t="s">
        <v>158</v>
      </c>
      <c r="I66" s="3" t="s">
        <v>17</v>
      </c>
    </row>
    <row r="67" customFormat="false" ht="15" hidden="false" customHeight="true" outlineLevel="0" collapsed="false">
      <c r="A67" s="3" t="s">
        <v>272</v>
      </c>
      <c r="B67" s="3" t="s">
        <v>250</v>
      </c>
      <c r="C67" s="3" t="s">
        <v>11</v>
      </c>
      <c r="D67" s="3" t="s">
        <v>273</v>
      </c>
      <c r="E67" s="6" t="s">
        <v>65</v>
      </c>
      <c r="F67" s="3" t="s">
        <v>274</v>
      </c>
      <c r="G67" s="3" t="s">
        <v>67</v>
      </c>
      <c r="H67" s="3" t="s">
        <v>275</v>
      </c>
      <c r="I67" s="3" t="s">
        <v>17</v>
      </c>
    </row>
    <row r="68" customFormat="false" ht="15" hidden="false" customHeight="true" outlineLevel="0" collapsed="false">
      <c r="A68" s="3" t="s">
        <v>276</v>
      </c>
      <c r="B68" s="3" t="s">
        <v>250</v>
      </c>
      <c r="C68" s="3" t="s">
        <v>11</v>
      </c>
      <c r="D68" s="3" t="s">
        <v>277</v>
      </c>
      <c r="E68" s="6" t="s">
        <v>65</v>
      </c>
      <c r="F68" s="3" t="s">
        <v>278</v>
      </c>
      <c r="G68" s="3" t="s">
        <v>67</v>
      </c>
      <c r="H68" s="3" t="s">
        <v>144</v>
      </c>
      <c r="I68" s="3" t="s">
        <v>17</v>
      </c>
    </row>
    <row r="69" customFormat="false" ht="15" hidden="false" customHeight="true" outlineLevel="0" collapsed="false">
      <c r="A69" s="3" t="s">
        <v>279</v>
      </c>
      <c r="B69" s="3" t="s">
        <v>250</v>
      </c>
      <c r="C69" s="3" t="s">
        <v>11</v>
      </c>
      <c r="D69" s="3" t="s">
        <v>280</v>
      </c>
      <c r="E69" s="6" t="s">
        <v>65</v>
      </c>
      <c r="F69" s="3" t="s">
        <v>87</v>
      </c>
      <c r="G69" s="3" t="s">
        <v>67</v>
      </c>
      <c r="H69" s="3" t="s">
        <v>88</v>
      </c>
      <c r="I69" s="3" t="s">
        <v>17</v>
      </c>
    </row>
    <row r="70" customFormat="false" ht="15" hidden="false" customHeight="true" outlineLevel="0" collapsed="false">
      <c r="A70" s="3" t="s">
        <v>281</v>
      </c>
      <c r="B70" s="3" t="s">
        <v>250</v>
      </c>
      <c r="C70" s="3" t="s">
        <v>11</v>
      </c>
      <c r="D70" s="3" t="s">
        <v>70</v>
      </c>
      <c r="E70" s="6" t="s">
        <v>65</v>
      </c>
      <c r="F70" s="3" t="s">
        <v>71</v>
      </c>
      <c r="G70" s="3" t="s">
        <v>67</v>
      </c>
      <c r="H70" s="3" t="s">
        <v>282</v>
      </c>
      <c r="I70" s="3" t="s">
        <v>17</v>
      </c>
    </row>
    <row r="71" customFormat="false" ht="15" hidden="false" customHeight="true" outlineLevel="0" collapsed="false">
      <c r="A71" s="3" t="s">
        <v>283</v>
      </c>
      <c r="B71" s="3" t="s">
        <v>250</v>
      </c>
      <c r="C71" s="3" t="s">
        <v>11</v>
      </c>
      <c r="D71" s="3" t="s">
        <v>284</v>
      </c>
      <c r="E71" s="6" t="s">
        <v>65</v>
      </c>
      <c r="F71" s="3" t="s">
        <v>285</v>
      </c>
      <c r="G71" s="3" t="s">
        <v>67</v>
      </c>
      <c r="H71" s="3" t="s">
        <v>286</v>
      </c>
      <c r="I71" s="3" t="s">
        <v>17</v>
      </c>
    </row>
    <row r="72" customFormat="false" ht="15" hidden="false" customHeight="true" outlineLevel="0" collapsed="false">
      <c r="A72" s="3" t="s">
        <v>287</v>
      </c>
      <c r="B72" s="3" t="s">
        <v>288</v>
      </c>
      <c r="C72" s="3" t="s">
        <v>125</v>
      </c>
      <c r="D72" s="3" t="s">
        <v>289</v>
      </c>
      <c r="E72" s="4" t="s">
        <v>13</v>
      </c>
      <c r="F72" s="3" t="s">
        <v>290</v>
      </c>
      <c r="G72" s="3" t="s">
        <v>128</v>
      </c>
      <c r="H72" s="3" t="s">
        <v>291</v>
      </c>
      <c r="I72" s="3" t="s">
        <v>17</v>
      </c>
    </row>
    <row r="73" customFormat="false" ht="15" hidden="false" customHeight="true" outlineLevel="0" collapsed="false">
      <c r="A73" s="3" t="s">
        <v>292</v>
      </c>
      <c r="B73" s="3" t="s">
        <v>288</v>
      </c>
      <c r="C73" s="3" t="s">
        <v>125</v>
      </c>
      <c r="D73" s="3" t="s">
        <v>293</v>
      </c>
      <c r="E73" s="4" t="s">
        <v>13</v>
      </c>
      <c r="F73" s="3" t="s">
        <v>294</v>
      </c>
      <c r="G73" s="3" t="s">
        <v>128</v>
      </c>
      <c r="H73" s="3" t="s">
        <v>295</v>
      </c>
      <c r="I73" s="3" t="s">
        <v>17</v>
      </c>
    </row>
    <row r="74" customFormat="false" ht="15" hidden="false" customHeight="true" outlineLevel="0" collapsed="false">
      <c r="A74" s="3" t="s">
        <v>296</v>
      </c>
      <c r="B74" s="3" t="s">
        <v>288</v>
      </c>
      <c r="C74" s="3" t="s">
        <v>125</v>
      </c>
      <c r="D74" s="3" t="s">
        <v>297</v>
      </c>
      <c r="E74" s="4" t="s">
        <v>13</v>
      </c>
      <c r="F74" s="3" t="s">
        <v>298</v>
      </c>
      <c r="G74" s="3" t="s">
        <v>128</v>
      </c>
      <c r="H74" s="3" t="s">
        <v>299</v>
      </c>
      <c r="I74" s="3" t="s">
        <v>17</v>
      </c>
    </row>
    <row r="75" customFormat="false" ht="15" hidden="false" customHeight="true" outlineLevel="0" collapsed="false">
      <c r="A75" s="3" t="s">
        <v>300</v>
      </c>
      <c r="B75" s="3" t="s">
        <v>288</v>
      </c>
      <c r="C75" s="3" t="s">
        <v>125</v>
      </c>
      <c r="D75" s="3" t="s">
        <v>301</v>
      </c>
      <c r="E75" s="6" t="s">
        <v>65</v>
      </c>
      <c r="F75" s="3" t="s">
        <v>278</v>
      </c>
      <c r="G75" s="3" t="s">
        <v>67</v>
      </c>
      <c r="H75" s="3" t="s">
        <v>144</v>
      </c>
      <c r="I75" s="3" t="s">
        <v>17</v>
      </c>
    </row>
    <row r="76" customFormat="false" ht="15" hidden="false" customHeight="true" outlineLevel="0" collapsed="false">
      <c r="A76" s="3" t="s">
        <v>302</v>
      </c>
      <c r="B76" s="3" t="s">
        <v>288</v>
      </c>
      <c r="C76" s="3" t="s">
        <v>125</v>
      </c>
      <c r="D76" s="3" t="s">
        <v>303</v>
      </c>
      <c r="E76" s="6" t="s">
        <v>65</v>
      </c>
      <c r="F76" s="3" t="s">
        <v>304</v>
      </c>
      <c r="G76" s="3" t="s">
        <v>148</v>
      </c>
      <c r="H76" s="3" t="s">
        <v>305</v>
      </c>
      <c r="I76" s="3" t="s">
        <v>17</v>
      </c>
    </row>
    <row r="77" customFormat="false" ht="15" hidden="false" customHeight="true" outlineLevel="0" collapsed="false">
      <c r="A77" s="3" t="s">
        <v>306</v>
      </c>
      <c r="B77" s="3" t="s">
        <v>307</v>
      </c>
      <c r="C77" s="3" t="s">
        <v>173</v>
      </c>
      <c r="D77" s="3" t="s">
        <v>308</v>
      </c>
      <c r="E77" s="4" t="s">
        <v>13</v>
      </c>
      <c r="F77" s="3" t="s">
        <v>309</v>
      </c>
      <c r="G77" s="3" t="s">
        <v>128</v>
      </c>
      <c r="H77" s="3" t="s">
        <v>310</v>
      </c>
      <c r="I77" s="3" t="s">
        <v>17</v>
      </c>
    </row>
    <row r="78" customFormat="false" ht="15" hidden="false" customHeight="true" outlineLevel="0" collapsed="false">
      <c r="A78" s="3" t="s">
        <v>311</v>
      </c>
      <c r="B78" s="3" t="s">
        <v>307</v>
      </c>
      <c r="C78" s="3" t="s">
        <v>173</v>
      </c>
      <c r="D78" s="3" t="s">
        <v>312</v>
      </c>
      <c r="E78" s="5" t="s">
        <v>44</v>
      </c>
      <c r="F78" s="3" t="s">
        <v>313</v>
      </c>
      <c r="G78" s="3" t="s">
        <v>128</v>
      </c>
      <c r="H78" s="3" t="s">
        <v>314</v>
      </c>
      <c r="I78" s="3" t="s">
        <v>17</v>
      </c>
    </row>
    <row r="79" customFormat="false" ht="15" hidden="false" customHeight="true" outlineLevel="0" collapsed="false">
      <c r="A79" s="3" t="s">
        <v>315</v>
      </c>
      <c r="B79" s="3" t="s">
        <v>307</v>
      </c>
      <c r="C79" s="3" t="s">
        <v>173</v>
      </c>
      <c r="D79" s="3" t="s">
        <v>316</v>
      </c>
      <c r="E79" s="5" t="s">
        <v>44</v>
      </c>
      <c r="F79" s="3" t="s">
        <v>317</v>
      </c>
      <c r="G79" s="3" t="s">
        <v>128</v>
      </c>
      <c r="H79" s="3" t="s">
        <v>318</v>
      </c>
      <c r="I79" s="3" t="s">
        <v>17</v>
      </c>
    </row>
    <row r="80" customFormat="false" ht="15" hidden="false" customHeight="true" outlineLevel="0" collapsed="false">
      <c r="A80" s="3" t="s">
        <v>319</v>
      </c>
      <c r="B80" s="3" t="s">
        <v>10</v>
      </c>
      <c r="C80" s="3" t="s">
        <v>11</v>
      </c>
      <c r="D80" s="3" t="s">
        <v>320</v>
      </c>
      <c r="E80" s="6" t="s">
        <v>65</v>
      </c>
      <c r="F80" s="3" t="s">
        <v>321</v>
      </c>
      <c r="G80" s="3" t="s">
        <v>67</v>
      </c>
      <c r="H80" s="3" t="s">
        <v>322</v>
      </c>
      <c r="I80" s="3" t="s">
        <v>17</v>
      </c>
    </row>
    <row r="81" customFormat="false" ht="15" hidden="false" customHeight="true" outlineLevel="0" collapsed="false">
      <c r="A81" s="3" t="s">
        <v>323</v>
      </c>
      <c r="B81" s="3" t="s">
        <v>10</v>
      </c>
      <c r="C81" s="3" t="s">
        <v>11</v>
      </c>
      <c r="D81" s="3" t="s">
        <v>324</v>
      </c>
      <c r="E81" s="6" t="s">
        <v>65</v>
      </c>
      <c r="F81" s="3" t="s">
        <v>325</v>
      </c>
      <c r="G81" s="3" t="s">
        <v>117</v>
      </c>
      <c r="H81" s="3" t="s">
        <v>118</v>
      </c>
      <c r="I81" s="3" t="s">
        <v>17</v>
      </c>
    </row>
    <row r="82" customFormat="false" ht="15" hidden="false" customHeight="true" outlineLevel="0" collapsed="false">
      <c r="A82" s="3" t="s">
        <v>326</v>
      </c>
      <c r="B82" s="3" t="s">
        <v>10</v>
      </c>
      <c r="C82" s="3" t="s">
        <v>11</v>
      </c>
      <c r="D82" s="3" t="s">
        <v>327</v>
      </c>
      <c r="E82" s="6" t="s">
        <v>65</v>
      </c>
      <c r="F82" s="3" t="s">
        <v>328</v>
      </c>
      <c r="G82" s="3" t="s">
        <v>15</v>
      </c>
      <c r="H82" s="3" t="s">
        <v>329</v>
      </c>
      <c r="I82" s="3" t="s">
        <v>17</v>
      </c>
    </row>
    <row r="83" customFormat="false" ht="15" hidden="false" customHeight="true" outlineLevel="0" collapsed="false">
      <c r="A83" s="3" t="s">
        <v>330</v>
      </c>
      <c r="B83" s="3" t="s">
        <v>10</v>
      </c>
      <c r="C83" s="3" t="s">
        <v>11</v>
      </c>
      <c r="D83" s="3" t="s">
        <v>331</v>
      </c>
      <c r="E83" s="5" t="s">
        <v>44</v>
      </c>
      <c r="F83" s="3" t="s">
        <v>332</v>
      </c>
      <c r="G83" s="3" t="s">
        <v>15</v>
      </c>
      <c r="H83" s="3" t="s">
        <v>333</v>
      </c>
      <c r="I83" s="3" t="s">
        <v>17</v>
      </c>
    </row>
    <row r="84" customFormat="false" ht="15" hidden="false" customHeight="true" outlineLevel="0" collapsed="false">
      <c r="A84" s="3" t="s">
        <v>334</v>
      </c>
      <c r="B84" s="3" t="s">
        <v>250</v>
      </c>
      <c r="C84" s="3" t="s">
        <v>11</v>
      </c>
      <c r="D84" s="3" t="s">
        <v>335</v>
      </c>
      <c r="E84" s="5" t="s">
        <v>44</v>
      </c>
      <c r="F84" s="3" t="s">
        <v>336</v>
      </c>
      <c r="G84" s="3" t="s">
        <v>337</v>
      </c>
      <c r="H84" s="3" t="s">
        <v>338</v>
      </c>
      <c r="I84" s="3" t="s">
        <v>17</v>
      </c>
    </row>
    <row r="85" customFormat="false" ht="15" hidden="false" customHeight="true" outlineLevel="0" collapsed="false">
      <c r="A85" s="3" t="s">
        <v>339</v>
      </c>
      <c r="B85" s="3" t="s">
        <v>10</v>
      </c>
      <c r="C85" s="3" t="s">
        <v>11</v>
      </c>
      <c r="D85" s="3" t="s">
        <v>340</v>
      </c>
      <c r="E85" s="5" t="s">
        <v>44</v>
      </c>
      <c r="F85" s="3" t="s">
        <v>341</v>
      </c>
      <c r="G85" s="3" t="s">
        <v>342</v>
      </c>
      <c r="H85" s="3" t="s">
        <v>343</v>
      </c>
      <c r="I85" s="3" t="s">
        <v>17</v>
      </c>
    </row>
    <row r="86" customFormat="false" ht="15" hidden="false" customHeight="true" outlineLevel="0" collapsed="false">
      <c r="A86" s="3" t="s">
        <v>344</v>
      </c>
      <c r="B86" s="3" t="s">
        <v>10</v>
      </c>
      <c r="C86" s="3" t="s">
        <v>160</v>
      </c>
      <c r="D86" s="3" t="s">
        <v>345</v>
      </c>
      <c r="E86" s="6" t="s">
        <v>65</v>
      </c>
      <c r="F86" s="3" t="s">
        <v>346</v>
      </c>
      <c r="G86" s="3" t="s">
        <v>153</v>
      </c>
      <c r="H86" s="3" t="s">
        <v>347</v>
      </c>
      <c r="I86" s="3" t="s">
        <v>17</v>
      </c>
    </row>
    <row r="87" customFormat="false" ht="15" hidden="false" customHeight="false" outlineLevel="0" collapsed="false">
      <c r="A87" s="3" t="s">
        <v>348</v>
      </c>
      <c r="B87" s="3" t="s">
        <v>202</v>
      </c>
      <c r="C87" s="3" t="s">
        <v>173</v>
      </c>
      <c r="D87" s="3" t="s">
        <v>349</v>
      </c>
      <c r="E87" s="5" t="s">
        <v>44</v>
      </c>
      <c r="F87" s="3" t="s">
        <v>350</v>
      </c>
      <c r="G87" s="3" t="s">
        <v>128</v>
      </c>
      <c r="H87" s="3" t="s">
        <v>351</v>
      </c>
      <c r="I87" s="3" t="s">
        <v>17</v>
      </c>
    </row>
    <row r="88" customFormat="false" ht="15" hidden="false" customHeight="false" outlineLevel="0" collapsed="false">
      <c r="A88" s="3" t="s">
        <v>352</v>
      </c>
      <c r="B88" s="3" t="s">
        <v>202</v>
      </c>
      <c r="C88" s="3" t="s">
        <v>173</v>
      </c>
      <c r="D88" s="3" t="s">
        <v>353</v>
      </c>
      <c r="E88" s="5" t="s">
        <v>44</v>
      </c>
      <c r="F88" s="3" t="s">
        <v>354</v>
      </c>
      <c r="G88" s="3" t="s">
        <v>128</v>
      </c>
      <c r="H88" s="3" t="s">
        <v>355</v>
      </c>
      <c r="I88" s="3" t="s">
        <v>17</v>
      </c>
    </row>
    <row r="89" customFormat="false" ht="15" hidden="false" customHeight="false" outlineLevel="0" collapsed="false">
      <c r="A89" s="3" t="s">
        <v>356</v>
      </c>
      <c r="B89" s="3" t="s">
        <v>202</v>
      </c>
      <c r="C89" s="3" t="s">
        <v>173</v>
      </c>
      <c r="D89" s="3" t="s">
        <v>357</v>
      </c>
      <c r="E89" s="5" t="s">
        <v>44</v>
      </c>
      <c r="F89" s="3" t="s">
        <v>358</v>
      </c>
      <c r="G89" s="3" t="s">
        <v>128</v>
      </c>
      <c r="H89" s="3" t="s">
        <v>359</v>
      </c>
      <c r="I89" s="3" t="s">
        <v>17</v>
      </c>
    </row>
    <row r="90" customFormat="false" ht="15" hidden="false" customHeight="false" outlineLevel="0" collapsed="false">
      <c r="A90" s="3" t="s">
        <v>360</v>
      </c>
      <c r="B90" s="3" t="s">
        <v>225</v>
      </c>
      <c r="C90" s="3" t="s">
        <v>173</v>
      </c>
      <c r="D90" s="3" t="s">
        <v>361</v>
      </c>
      <c r="E90" s="5" t="s">
        <v>44</v>
      </c>
      <c r="F90" s="3" t="s">
        <v>362</v>
      </c>
      <c r="G90" s="3" t="s">
        <v>128</v>
      </c>
      <c r="H90" s="3" t="s">
        <v>363</v>
      </c>
      <c r="I90" s="3" t="s">
        <v>17</v>
      </c>
    </row>
    <row r="91" customFormat="false" ht="15" hidden="false" customHeight="false" outlineLevel="0" collapsed="false">
      <c r="A91" s="3" t="s">
        <v>364</v>
      </c>
      <c r="B91" s="3" t="s">
        <v>225</v>
      </c>
      <c r="C91" s="3" t="s">
        <v>173</v>
      </c>
      <c r="D91" s="3" t="s">
        <v>365</v>
      </c>
      <c r="E91" s="5" t="s">
        <v>44</v>
      </c>
      <c r="F91" s="3" t="s">
        <v>366</v>
      </c>
      <c r="G91" s="3" t="s">
        <v>128</v>
      </c>
      <c r="H91" s="3" t="s">
        <v>367</v>
      </c>
      <c r="I91" s="3" t="s">
        <v>17</v>
      </c>
    </row>
    <row r="92" customFormat="false" ht="15" hidden="false" customHeight="false" outlineLevel="0" collapsed="false">
      <c r="A92" s="3" t="s">
        <v>368</v>
      </c>
      <c r="B92" s="3" t="s">
        <v>225</v>
      </c>
      <c r="C92" s="3" t="s">
        <v>173</v>
      </c>
      <c r="D92" s="3" t="s">
        <v>369</v>
      </c>
      <c r="E92" s="5" t="s">
        <v>44</v>
      </c>
      <c r="F92" s="3" t="s">
        <v>370</v>
      </c>
      <c r="G92" s="3" t="s">
        <v>128</v>
      </c>
      <c r="H92" s="3" t="s">
        <v>371</v>
      </c>
      <c r="I92" s="3" t="s">
        <v>17</v>
      </c>
    </row>
    <row r="93" customFormat="false" ht="15" hidden="false" customHeight="false" outlineLevel="0" collapsed="false">
      <c r="A93" s="3" t="s">
        <v>372</v>
      </c>
      <c r="B93" s="3" t="s">
        <v>10</v>
      </c>
      <c r="C93" s="3" t="s">
        <v>173</v>
      </c>
      <c r="D93" s="3" t="s">
        <v>349</v>
      </c>
      <c r="E93" s="5" t="s">
        <v>44</v>
      </c>
      <c r="F93" s="3" t="s">
        <v>373</v>
      </c>
      <c r="G93" s="3" t="s">
        <v>128</v>
      </c>
      <c r="H93" s="3" t="s">
        <v>374</v>
      </c>
      <c r="I93" s="3" t="s">
        <v>17</v>
      </c>
    </row>
    <row r="94" customFormat="false" ht="15" hidden="false" customHeight="false" outlineLevel="0" collapsed="false">
      <c r="A94" s="3" t="s">
        <v>375</v>
      </c>
      <c r="B94" s="3" t="s">
        <v>10</v>
      </c>
      <c r="C94" s="3" t="s">
        <v>173</v>
      </c>
      <c r="D94" s="3" t="s">
        <v>376</v>
      </c>
      <c r="E94" s="5" t="s">
        <v>44</v>
      </c>
      <c r="F94" s="3" t="s">
        <v>377</v>
      </c>
      <c r="G94" s="3" t="s">
        <v>128</v>
      </c>
      <c r="H94" s="3" t="s">
        <v>378</v>
      </c>
      <c r="I94" s="3" t="s">
        <v>17</v>
      </c>
    </row>
    <row r="95" customFormat="false" ht="15" hidden="false" customHeight="false" outlineLevel="0" collapsed="false">
      <c r="A95" s="3" t="s">
        <v>379</v>
      </c>
      <c r="B95" s="3" t="s">
        <v>10</v>
      </c>
      <c r="C95" s="3" t="s">
        <v>173</v>
      </c>
      <c r="D95" s="3" t="s">
        <v>380</v>
      </c>
      <c r="E95" s="5" t="s">
        <v>44</v>
      </c>
      <c r="F95" s="3" t="s">
        <v>381</v>
      </c>
      <c r="G95" s="3" t="s">
        <v>128</v>
      </c>
      <c r="H95" s="3" t="s">
        <v>382</v>
      </c>
      <c r="I95" s="3" t="s">
        <v>17</v>
      </c>
    </row>
    <row r="96" customFormat="false" ht="15" hidden="false" customHeight="false" outlineLevel="0" collapsed="false">
      <c r="A96" s="3" t="s">
        <v>383</v>
      </c>
      <c r="B96" s="3" t="s">
        <v>10</v>
      </c>
      <c r="C96" s="3" t="s">
        <v>173</v>
      </c>
      <c r="D96" s="3" t="s">
        <v>384</v>
      </c>
      <c r="E96" s="5" t="s">
        <v>44</v>
      </c>
      <c r="F96" s="3" t="s">
        <v>354</v>
      </c>
      <c r="G96" s="3" t="s">
        <v>128</v>
      </c>
      <c r="H96" s="3" t="s">
        <v>385</v>
      </c>
      <c r="I96" s="3" t="s">
        <v>17</v>
      </c>
    </row>
    <row r="97" customFormat="false" ht="15" hidden="false" customHeight="false" outlineLevel="0" collapsed="false">
      <c r="A97" s="3" t="s">
        <v>386</v>
      </c>
      <c r="B97" s="3" t="s">
        <v>10</v>
      </c>
      <c r="C97" s="3" t="s">
        <v>173</v>
      </c>
      <c r="D97" s="3" t="s">
        <v>387</v>
      </c>
      <c r="E97" s="5" t="s">
        <v>44</v>
      </c>
      <c r="F97" s="3" t="s">
        <v>388</v>
      </c>
      <c r="G97" s="3" t="s">
        <v>128</v>
      </c>
      <c r="H97" s="3" t="s">
        <v>389</v>
      </c>
      <c r="I97" s="3" t="s">
        <v>17</v>
      </c>
    </row>
    <row r="98" customFormat="false" ht="15" hidden="false" customHeight="false" outlineLevel="0" collapsed="false">
      <c r="A98" s="3" t="s">
        <v>390</v>
      </c>
      <c r="B98" s="3" t="s">
        <v>10</v>
      </c>
      <c r="C98" s="3" t="s">
        <v>173</v>
      </c>
      <c r="D98" s="3" t="s">
        <v>391</v>
      </c>
      <c r="E98" s="5" t="s">
        <v>44</v>
      </c>
      <c r="F98" s="3" t="s">
        <v>392</v>
      </c>
      <c r="G98" s="3" t="s">
        <v>128</v>
      </c>
      <c r="H98" s="3" t="s">
        <v>393</v>
      </c>
      <c r="I98" s="3" t="s">
        <v>17</v>
      </c>
    </row>
    <row r="99" customFormat="false" ht="15" hidden="false" customHeight="false" outlineLevel="0" collapsed="false">
      <c r="A99" s="3" t="s">
        <v>394</v>
      </c>
      <c r="B99" s="3" t="s">
        <v>307</v>
      </c>
      <c r="C99" s="3" t="s">
        <v>173</v>
      </c>
      <c r="D99" s="3" t="s">
        <v>395</v>
      </c>
      <c r="E99" s="5" t="s">
        <v>44</v>
      </c>
      <c r="F99" s="3" t="s">
        <v>396</v>
      </c>
      <c r="G99" s="3" t="s">
        <v>128</v>
      </c>
      <c r="H99" s="3" t="s">
        <v>397</v>
      </c>
      <c r="I99" s="3" t="s">
        <v>17</v>
      </c>
    </row>
    <row r="100" customFormat="false" ht="15" hidden="false" customHeight="false" outlineLevel="0" collapsed="false">
      <c r="A100" s="3" t="s">
        <v>398</v>
      </c>
      <c r="B100" s="3" t="s">
        <v>307</v>
      </c>
      <c r="C100" s="3" t="s">
        <v>173</v>
      </c>
      <c r="D100" s="3" t="s">
        <v>399</v>
      </c>
      <c r="E100" s="5" t="s">
        <v>44</v>
      </c>
      <c r="F100" s="3" t="s">
        <v>400</v>
      </c>
      <c r="G100" s="3" t="s">
        <v>128</v>
      </c>
      <c r="H100" s="3" t="s">
        <v>401</v>
      </c>
      <c r="I100" s="3" t="s">
        <v>17</v>
      </c>
    </row>
    <row r="101" customFormat="false" ht="15" hidden="false" customHeight="false" outlineLevel="0" collapsed="false">
      <c r="A101" s="3" t="s">
        <v>402</v>
      </c>
      <c r="B101" s="3" t="s">
        <v>307</v>
      </c>
      <c r="C101" s="3" t="s">
        <v>173</v>
      </c>
      <c r="D101" s="3" t="s">
        <v>403</v>
      </c>
      <c r="E101" s="5" t="s">
        <v>44</v>
      </c>
      <c r="F101" s="3" t="s">
        <v>404</v>
      </c>
      <c r="G101" s="3" t="s">
        <v>128</v>
      </c>
      <c r="H101" s="3" t="s">
        <v>405</v>
      </c>
      <c r="I101" s="3" t="s">
        <v>17</v>
      </c>
    </row>
    <row r="102" customFormat="false" ht="15" hidden="false" customHeight="false" outlineLevel="0" collapsed="false">
      <c r="A102" s="3" t="s">
        <v>406</v>
      </c>
      <c r="B102" s="3" t="s">
        <v>288</v>
      </c>
      <c r="C102" s="3" t="s">
        <v>173</v>
      </c>
      <c r="D102" s="3" t="s">
        <v>407</v>
      </c>
      <c r="E102" s="5" t="s">
        <v>44</v>
      </c>
      <c r="F102" s="3" t="s">
        <v>408</v>
      </c>
      <c r="G102" s="3" t="s">
        <v>128</v>
      </c>
      <c r="H102" s="3" t="s">
        <v>409</v>
      </c>
      <c r="I102" s="3" t="s">
        <v>17</v>
      </c>
    </row>
  </sheetData>
  <autoFilter ref="A1:I1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</cols>
  <sheetData>
    <row r="1" customFormat="false" ht="17.25" hidden="false" customHeight="true" outlineLevel="0" collapsed="false">
      <c r="A1" s="7" t="s">
        <v>410</v>
      </c>
    </row>
    <row r="3" customFormat="false" ht="15" hidden="false" customHeight="true" outlineLevel="0" collapsed="false">
      <c r="A3" s="8" t="s">
        <v>411</v>
      </c>
      <c r="B3" s="9" t="n">
        <f aca="false">COUNTA('API Test Cases'!A2:A102)</f>
        <v>101</v>
      </c>
    </row>
    <row r="4" customFormat="false" ht="15" hidden="false" customHeight="true" outlineLevel="0" collapsed="false">
      <c r="A4" s="8" t="s">
        <v>13</v>
      </c>
      <c r="B4" s="9" t="n">
        <f aca="false">COUNTIF('API Test Cases'!E2:E102,"Happy")</f>
        <v>28</v>
      </c>
    </row>
    <row r="5" customFormat="false" ht="15" hidden="false" customHeight="true" outlineLevel="0" collapsed="false">
      <c r="A5" s="8" t="s">
        <v>44</v>
      </c>
      <c r="B5" s="9" t="n">
        <f aca="false">COUNTIF('API Test Cases'!E2:E102,"Edge")</f>
        <v>36</v>
      </c>
    </row>
    <row r="6" customFormat="false" ht="15" hidden="false" customHeight="true" outlineLevel="0" collapsed="false">
      <c r="A6" s="8" t="s">
        <v>65</v>
      </c>
      <c r="B6" s="9" t="n">
        <f aca="false">COUNTIF('API Test Cases'!E2:E102,"Negative")</f>
        <v>37</v>
      </c>
    </row>
    <row r="7" customFormat="false" ht="15" hidden="false" customHeight="true" outlineLevel="0" collapsed="false">
      <c r="A7" s="8"/>
      <c r="B7" s="9"/>
    </row>
    <row r="8" customFormat="false" ht="15" hidden="false" customHeight="true" outlineLevel="0" collapsed="false">
      <c r="A8" s="8" t="s">
        <v>412</v>
      </c>
      <c r="B8" s="9" t="n">
        <f aca="false">COUNTIF('API Test Cases'!I2:I102,"Pass")</f>
        <v>0</v>
      </c>
    </row>
    <row r="9" customFormat="false" ht="15" hidden="false" customHeight="true" outlineLevel="0" collapsed="false">
      <c r="A9" s="8" t="s">
        <v>413</v>
      </c>
      <c r="B9" s="9" t="n">
        <f aca="false">COUNTIF('API Test Cases'!I2:I102,"Fail")</f>
        <v>0</v>
      </c>
    </row>
    <row r="10" customFormat="false" ht="15" hidden="false" customHeight="true" outlineLevel="0" collapsed="false">
      <c r="A10" s="8" t="s">
        <v>17</v>
      </c>
      <c r="B10" s="9" t="n">
        <f aca="false">COUNTIF('API Test Cases'!I2:I102,"Not Run")</f>
        <v>101</v>
      </c>
    </row>
    <row r="11" customFormat="false" ht="15" hidden="false" customHeight="true" outlineLevel="0" collapsed="false">
      <c r="A11" s="8"/>
      <c r="B11" s="9"/>
    </row>
    <row r="12" customFormat="false" ht="15" hidden="false" customHeight="true" outlineLevel="0" collapsed="false">
      <c r="A12" s="8" t="s">
        <v>414</v>
      </c>
      <c r="B12" s="10" t="n">
        <f aca="false">IF(B3-B10=0,0,B8/(B3-B10))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2026-05-12T04:10:32Z</dcterms:created>
  <dc:creator>openpyxl</dc:creator>
  <dc:description/>
  <dc:language>en-US</dc:language>
  <cp:lastModifiedBy/>
  <dcterms:modified xsi:type="dcterms:W3CDTF">2026-05-28T09:01:21Z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