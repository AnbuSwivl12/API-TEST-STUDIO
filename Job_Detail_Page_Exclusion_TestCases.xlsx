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Exclusion Cases" sheetId="1" state="visible" r:id="rId3"/>
    <sheet name="Summary" sheetId="2" state="visible" r:id="rId4"/>
  </sheets>
  <definedNames>
    <definedName function="false" hidden="true" localSheetId="0" name="_xlnm._FilterDatabase" vbProcedure="false">'Page Exclusion Cases'!$A$1:$I$31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<sst xmlns="http://schemas.openxmlformats.org/spreadsheetml/2006/main" count="259" uniqueCount="142">
  <si>
    <t xml:space="preserve">TestCaseID</t>
  </si>
  <si>
    <t xml:space="preserve">Endpoint</t>
  </si>
  <si>
    <t xml:space="preserve">Method</t>
  </si>
  <si>
    <t xml:space="preserve">Description</t>
  </si>
  <si>
    <t xml:space="preserve">Type</t>
  </si>
  <si>
    <t xml:space="preserve">Input</t>
  </si>
  <si>
    <t xml:space="preserve">ExpectedStatus</t>
  </si>
  <si>
    <t xml:space="preserve">ExpectedResult</t>
  </si>
  <si>
    <t xml:space="preserve">Status</t>
  </si>
  <si>
    <t xml:space="preserve">TC001</t>
  </si>
  <si>
    <t xml:space="preserve">/jobs/{id}</t>
  </si>
  <si>
    <t xml:space="preserve">GET</t>
  </si>
  <si>
    <t xml:space="preserve">Header task counter excludes cancelled tasks</t>
  </si>
  <si>
    <t xml:space="preserve">Happy</t>
  </si>
  <si>
    <t xml:space="preserve">Job with 7 tasks total: 2 done, 3 open, 2 cancelled</t>
  </si>
  <si>
    <t xml:space="preserve">200</t>
  </si>
  <si>
    <t xml:space="preserve">'In Progress' indicator shows 2/5 tasks done (denominator excludes 2 cancelled)</t>
  </si>
  <si>
    <t xml:space="preserve">TC002</t>
  </si>
  <si>
    <t xml:space="preserve">taskCounts.total excludes cancelled</t>
  </si>
  <si>
    <t xml:space="preserve">Edge</t>
  </si>
  <si>
    <t xml:space="preserve">Same job (5 active + 2 cancelled)</t>
  </si>
  <si>
    <t xml:space="preserve">data.taskCounts.total = 5; data.taskCounts.cancelled = 2 reported separately</t>
  </si>
  <si>
    <t xml:space="preserve">TC003</t>
  </si>
  <si>
    <t xml:space="preserve">statusInfo.totalTasksCount excludes cancelled</t>
  </si>
  <si>
    <t xml:space="preserve">Same job</t>
  </si>
  <si>
    <t xml:space="preserve">data.statusInfo.totalTasksCount = 5</t>
  </si>
  <si>
    <t xml:space="preserve">TC004</t>
  </si>
  <si>
    <t xml:space="preserve">statusInfo.openTasksCount excludes cancelled</t>
  </si>
  <si>
    <t xml:space="preserve">5 active (3 open, 2 done) + 2 cancelled</t>
  </si>
  <si>
    <t xml:space="preserve">data.statusInfo.openTasksCount = 3</t>
  </si>
  <si>
    <t xml:space="preserve">TC005</t>
  </si>
  <si>
    <t xml:space="preserve">/tasks</t>
  </si>
  <si>
    <t xml:space="preserve">Tasks tab list excludes cancelled by default</t>
  </si>
  <si>
    <t xml:space="preserve">GET /tasks?jobId=JSSS01186</t>
  </si>
  <si>
    <t xml:space="preserve">Returns 5 active tasks; cancelled NOT in default page</t>
  </si>
  <si>
    <t xml:space="preserve">TC006</t>
  </si>
  <si>
    <t xml:space="preserve">All tasks cancelled → empty tab</t>
  </si>
  <si>
    <t xml:space="preserve">Job where every task is cancelled</t>
  </si>
  <si>
    <t xml:space="preserve">Tasks tab list = []; counter shows 0/0</t>
  </si>
  <si>
    <t xml:space="preserve">TC007</t>
  </si>
  <si>
    <t xml:space="preserve">Explicit status=CANCELLED filter returns them</t>
  </si>
  <si>
    <t xml:space="preserve">GET /tasks?jobId=JSSS01186&amp;status=CANCELLED</t>
  </si>
  <si>
    <t xml:space="preserve">Only cancelled tasks returned; user must opt in explicitly</t>
  </si>
  <si>
    <t xml:space="preserve">TC008</t>
  </si>
  <si>
    <t xml:space="preserve">Cancelling a task decrements 'done' denominator</t>
  </si>
  <si>
    <t xml:space="preserve">Toggle one open task to cancelled, re-fetch</t>
  </si>
  <si>
    <t xml:space="preserve">Header denominator drops from 7 to 6</t>
  </si>
  <si>
    <t xml:space="preserve">TC009</t>
  </si>
  <si>
    <t xml:space="preserve">Cancelled overdue task NOT in overdue count</t>
  </si>
  <si>
    <t xml:space="preserve">Task is both overdue and cancelled</t>
  </si>
  <si>
    <t xml:space="preserve">statusInfo.overdueTasksCount excludes it</t>
  </si>
  <si>
    <t xml:space="preserve">TC010</t>
  </si>
  <si>
    <t xml:space="preserve">/api/v1/estimate</t>
  </si>
  <si>
    <t xml:space="preserve">Estimates tab excludes void by default</t>
  </si>
  <si>
    <t xml:space="preserve">GET /api/v1/estimate?jobId=JSSS01186 — 4 active + 2 void</t>
  </si>
  <si>
    <t xml:space="preserve">Returns 4 estimates; void NOT in default page</t>
  </si>
  <si>
    <t xml:space="preserve">TC011</t>
  </si>
  <si>
    <t xml:space="preserve">Estimates tab excludes expired by default</t>
  </si>
  <si>
    <t xml:space="preserve">5 active + 3 expired</t>
  </si>
  <si>
    <t xml:space="preserve">Returns 5 estimates; expired excluded</t>
  </si>
  <si>
    <t xml:space="preserve">TC012</t>
  </si>
  <si>
    <t xml:space="preserve">Estimates tab excludes void AND expired together</t>
  </si>
  <si>
    <t xml:space="preserve">2 active + 1 void + 1 expired</t>
  </si>
  <si>
    <t xml:space="preserve">Default tab length = 2</t>
  </si>
  <si>
    <t xml:space="preserve">TC013</t>
  </si>
  <si>
    <t xml:space="preserve">All estimates void/expired → empty tab</t>
  </si>
  <si>
    <t xml:space="preserve">Job with only void + expired estimates</t>
  </si>
  <si>
    <t xml:space="preserve">Estimates tab = []; counter shows 0</t>
  </si>
  <si>
    <t xml:space="preserve">TC014</t>
  </si>
  <si>
    <t xml:space="preserve">Explicit status=Void returns voids</t>
  </si>
  <si>
    <t xml:space="preserve">?status=Void&amp;jobId=JSSS01186</t>
  </si>
  <si>
    <t xml:space="preserve">Only void estimates returned</t>
  </si>
  <si>
    <t xml:space="preserve">TC015</t>
  </si>
  <si>
    <t xml:space="preserve">Explicit status=Expired returns expired</t>
  </si>
  <si>
    <t xml:space="preserve">?status=Expired&amp;jobId=JSSS01186</t>
  </si>
  <si>
    <t xml:space="preserve">Only expired estimates returned</t>
  </si>
  <si>
    <t xml:space="preserve">TC016</t>
  </si>
  <si>
    <t xml:space="preserve">Voiding refreshes Estimates tab count</t>
  </si>
  <si>
    <t xml:space="preserve">Void one estimate, re-fetch</t>
  </si>
  <si>
    <t xml:space="preserve">Tab list length drops by 1; voided one absent</t>
  </si>
  <si>
    <t xml:space="preserve">TC017</t>
  </si>
  <si>
    <t xml:space="preserve">Expiry tick refreshes Estimates tab count</t>
  </si>
  <si>
    <t xml:space="preserve">Estimate expires (dueDate passes), re-fetch</t>
  </si>
  <si>
    <t xml:space="preserve">Tab list length drops by 1; expired one absent</t>
  </si>
  <si>
    <t xml:space="preserve">TC018</t>
  </si>
  <si>
    <t xml:space="preserve">/api/v1/invoice</t>
  </si>
  <si>
    <t xml:space="preserve">Header 'invoice sent' counter excludes void</t>
  </si>
  <si>
    <t xml:space="preserve">Job with 7 invoices: 3 Sent, 2 Paid, 2 Void</t>
  </si>
  <si>
    <t xml:space="preserve">'Paid' indicator shows 3/5 invoice sent (denominator excludes 2 void)</t>
  </si>
  <si>
    <t xml:space="preserve">TC019</t>
  </si>
  <si>
    <t xml:space="preserve">Invoices tab list excludes void by default</t>
  </si>
  <si>
    <t xml:space="preserve">GET /api/v1/invoice?jobId=JSSS01186 — 5 active + 2 void</t>
  </si>
  <si>
    <t xml:space="preserve">Returns 5 invoices; void NOT in default page</t>
  </si>
  <si>
    <t xml:space="preserve">TC020</t>
  </si>
  <si>
    <t xml:space="preserve">All invoices void → empty tab</t>
  </si>
  <si>
    <t xml:space="preserve">Job where every invoice is void</t>
  </si>
  <si>
    <t xml:space="preserve">Invoices tab = []; counter shows 0/0</t>
  </si>
  <si>
    <t xml:space="preserve">TC021</t>
  </si>
  <si>
    <t xml:space="preserve">Only void invoices returned</t>
  </si>
  <si>
    <t xml:space="preserve">TC022</t>
  </si>
  <si>
    <t xml:space="preserve">Past Due filter on this job excludes void</t>
  </si>
  <si>
    <t xml:space="preserve">Void invoice with dueDate&lt;now on this job</t>
  </si>
  <si>
    <t xml:space="preserve">?status=Past Due returns 0; void never surfaces</t>
  </si>
  <si>
    <t xml:space="preserve">TC023</t>
  </si>
  <si>
    <t xml:space="preserve">Voiding refreshes Invoices tab count</t>
  </si>
  <si>
    <t xml:space="preserve">Void one invoice, re-fetch</t>
  </si>
  <si>
    <t xml:space="preserve">TC024</t>
  </si>
  <si>
    <t xml:space="preserve">Job Cost totals exclude void invoices</t>
  </si>
  <si>
    <t xml:space="preserve">Recurring job; one invoice voided</t>
  </si>
  <si>
    <t xml:space="preserve">data.recurringSummary.invoicedAmount and paidAmount exclude void row</t>
  </si>
  <si>
    <t xml:space="preserve">TC025</t>
  </si>
  <si>
    <t xml:space="preserve">outstandingBalance correct after voiding</t>
  </si>
  <si>
    <t xml:space="preserve">totalAmount=1000, paid=400, void=200, sent=400</t>
  </si>
  <si>
    <t xml:space="preserve">outstandingBalance = 1000 − 400 = 600 (void not in paid or invoiced)</t>
  </si>
  <si>
    <t xml:space="preserve">TC026</t>
  </si>
  <si>
    <t xml:space="preserve">Header progress reconciles all three exclusions</t>
  </si>
  <si>
    <t xml:space="preserve">Job: 7 tasks (2 done, 3 open, 2 cancelled); 7 invoices (3 sent, 2 paid, 2 void); 4 estimates (2 active, 1 void, 1 expired)</t>
  </si>
  <si>
    <t xml:space="preserve">Tasks: 2/5 done · Invoices: 3/5 sent · Estimates count = 2</t>
  </si>
  <si>
    <t xml:space="preserve">TC027</t>
  </si>
  <si>
    <t xml:space="preserve">Zero-active denominators avoid divide-by-zero</t>
  </si>
  <si>
    <t xml:space="preserve">All tasks cancelled, all invoices void, all estimates void/expired</t>
  </si>
  <si>
    <t xml:space="preserve">Progress shows 0/0 for both rails; no NaN/Infinity in response</t>
  </si>
  <si>
    <t xml:space="preserve">TC028</t>
  </si>
  <si>
    <t xml:space="preserve">Counts update after status transitions</t>
  </si>
  <si>
    <t xml:space="preserve">Cancel a task + void an invoice + expire an estimate; re-fetch</t>
  </si>
  <si>
    <t xml:space="preserve">All three counters drop by 1 each in the same response</t>
  </si>
  <si>
    <t xml:space="preserve">TC029</t>
  </si>
  <si>
    <t xml:space="preserve">Excluded rows never appear in summary aggregations</t>
  </si>
  <si>
    <t xml:space="preserve">Any job state</t>
  </si>
  <si>
    <t xml:space="preserve">No void/expired/cancelled IDs appear inside aggregate sums or list arrays</t>
  </si>
  <si>
    <t xml:space="preserve">TC030</t>
  </si>
  <si>
    <t xml:space="preserve">Explicit filter for excluded states still works</t>
  </si>
  <si>
    <t xml:space="preserve">User taps a filter chip for Cancelled/Void/Expired</t>
  </si>
  <si>
    <t xml:space="preserve">Filtered list contains ONLY that excluded state; default view stays clean</t>
  </si>
  <si>
    <t xml:space="preserve">Job Detail Page — Exclusion Rule Tests</t>
  </si>
  <si>
    <t xml:space="preserve">Rules</t>
  </si>
  <si>
    <t xml:space="preserve">Tasks: skip CANCELLED · Invoices: skip VOID · Estimates: skip VOID + EXPIRED</t>
  </si>
  <si>
    <t xml:space="preserve">Total cases</t>
  </si>
  <si>
    <t xml:space="preserve">Passed</t>
  </si>
  <si>
    <t xml:space="preserve">Failed</t>
  </si>
  <si>
    <t xml:space="preserve">Not Run</t>
  </si>
  <si>
    <t xml:space="preserve">Pass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</si>
</sst>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48"/>
    <col collapsed="false" customWidth="true" hidden="false" outlineLevel="0" max="5" min="5" style="0" width="9"/>
    <col collapsed="false" customWidth="true" hidden="false" outlineLevel="0" max="6" min="6" style="0" width="50"/>
    <col collapsed="false" customWidth="true" hidden="false" outlineLevel="0" max="7" min="7" style="0" width="15"/>
    <col collapsed="false" customWidth="true" hidden="false" outlineLevel="0" max="8" min="8" style="0" width="56"/>
    <col collapsed="false" customWidth="true" hidden="false" outlineLevel="0" max="9" min="9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</row>
    <row r="3" customFormat="false" ht="23.85" hidden="false" customHeight="false" outlineLevel="0" collapsed="false">
      <c r="A3" s="2" t="s">
        <v>17</v>
      </c>
      <c r="B3" s="2" t="s">
        <v>10</v>
      </c>
      <c r="C3" s="2" t="s">
        <v>11</v>
      </c>
      <c r="D3" s="2" t="s">
        <v>18</v>
      </c>
      <c r="E3" s="4" t="s">
        <v>19</v>
      </c>
      <c r="F3" s="2" t="s">
        <v>20</v>
      </c>
      <c r="G3" s="2" t="s">
        <v>15</v>
      </c>
      <c r="H3" s="2" t="s">
        <v>21</v>
      </c>
    </row>
    <row r="4" customFormat="false" ht="15" hidden="false" customHeight="false" outlineLevel="0" collapsed="false">
      <c r="A4" s="2" t="s">
        <v>22</v>
      </c>
      <c r="B4" s="2" t="s">
        <v>10</v>
      </c>
      <c r="C4" s="2" t="s">
        <v>11</v>
      </c>
      <c r="D4" s="2" t="s">
        <v>23</v>
      </c>
      <c r="E4" s="4" t="s">
        <v>19</v>
      </c>
      <c r="F4" s="2" t="s">
        <v>24</v>
      </c>
      <c r="G4" s="2" t="s">
        <v>15</v>
      </c>
      <c r="H4" s="2" t="s">
        <v>25</v>
      </c>
    </row>
    <row r="5" customFormat="false" ht="15" hidden="false" customHeight="false" outlineLevel="0" collapsed="false">
      <c r="A5" s="2" t="s">
        <v>26</v>
      </c>
      <c r="B5" s="2" t="s">
        <v>10</v>
      </c>
      <c r="C5" s="2" t="s">
        <v>11</v>
      </c>
      <c r="D5" s="2" t="s">
        <v>27</v>
      </c>
      <c r="E5" s="4" t="s">
        <v>19</v>
      </c>
      <c r="F5" s="2" t="s">
        <v>28</v>
      </c>
      <c r="G5" s="2" t="s">
        <v>15</v>
      </c>
      <c r="H5" s="2" t="s">
        <v>29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11</v>
      </c>
      <c r="D6" s="2" t="s">
        <v>32</v>
      </c>
      <c r="E6" s="3" t="s">
        <v>13</v>
      </c>
      <c r="F6" s="2" t="s">
        <v>33</v>
      </c>
      <c r="G6" s="2" t="s">
        <v>15</v>
      </c>
      <c r="H6" s="2" t="s">
        <v>34</v>
      </c>
    </row>
    <row r="7" customFormat="false" ht="15" hidden="false" customHeight="false" outlineLevel="0" collapsed="false">
      <c r="A7" s="2" t="s">
        <v>35</v>
      </c>
      <c r="B7" s="2" t="s">
        <v>31</v>
      </c>
      <c r="C7" s="2" t="s">
        <v>11</v>
      </c>
      <c r="D7" s="2" t="s">
        <v>36</v>
      </c>
      <c r="E7" s="4" t="s">
        <v>19</v>
      </c>
      <c r="F7" s="2" t="s">
        <v>37</v>
      </c>
      <c r="G7" s="2" t="s">
        <v>15</v>
      </c>
      <c r="H7" s="2" t="s">
        <v>38</v>
      </c>
    </row>
    <row r="8" customFormat="false" ht="15" hidden="false" customHeight="false" outlineLevel="0" collapsed="false">
      <c r="A8" s="2" t="s">
        <v>39</v>
      </c>
      <c r="B8" s="2" t="s">
        <v>31</v>
      </c>
      <c r="C8" s="2" t="s">
        <v>11</v>
      </c>
      <c r="D8" s="2" t="s">
        <v>40</v>
      </c>
      <c r="E8" s="4" t="s">
        <v>19</v>
      </c>
      <c r="F8" s="2" t="s">
        <v>41</v>
      </c>
      <c r="G8" s="2" t="s">
        <v>15</v>
      </c>
      <c r="H8" s="2" t="s">
        <v>42</v>
      </c>
    </row>
    <row r="9" customFormat="false" ht="15" hidden="false" customHeight="false" outlineLevel="0" collapsed="false">
      <c r="A9" s="2" t="s">
        <v>43</v>
      </c>
      <c r="B9" s="2" t="s">
        <v>10</v>
      </c>
      <c r="C9" s="2" t="s">
        <v>11</v>
      </c>
      <c r="D9" s="2" t="s">
        <v>44</v>
      </c>
      <c r="E9" s="4" t="s">
        <v>19</v>
      </c>
      <c r="F9" s="2" t="s">
        <v>45</v>
      </c>
      <c r="G9" s="2" t="s">
        <v>15</v>
      </c>
      <c r="H9" s="2" t="s">
        <v>46</v>
      </c>
    </row>
    <row r="10" customFormat="false" ht="15" hidden="false" customHeight="false" outlineLevel="0" collapsed="false">
      <c r="A10" s="2" t="s">
        <v>47</v>
      </c>
      <c r="B10" s="2" t="s">
        <v>10</v>
      </c>
      <c r="C10" s="2" t="s">
        <v>11</v>
      </c>
      <c r="D10" s="2" t="s">
        <v>48</v>
      </c>
      <c r="E10" s="4" t="s">
        <v>19</v>
      </c>
      <c r="F10" s="2" t="s">
        <v>49</v>
      </c>
      <c r="G10" s="2" t="s">
        <v>15</v>
      </c>
      <c r="H10" s="2" t="s">
        <v>50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11</v>
      </c>
      <c r="D11" s="2" t="s">
        <v>53</v>
      </c>
      <c r="E11" s="3" t="s">
        <v>13</v>
      </c>
      <c r="F11" s="2" t="s">
        <v>54</v>
      </c>
      <c r="G11" s="2" t="s">
        <v>15</v>
      </c>
      <c r="H11" s="2" t="s">
        <v>55</v>
      </c>
    </row>
    <row r="12" customFormat="false" ht="15" hidden="false" customHeight="false" outlineLevel="0" collapsed="false">
      <c r="A12" s="2" t="s">
        <v>56</v>
      </c>
      <c r="B12" s="2" t="s">
        <v>52</v>
      </c>
      <c r="C12" s="2" t="s">
        <v>11</v>
      </c>
      <c r="D12" s="2" t="s">
        <v>57</v>
      </c>
      <c r="E12" s="3" t="s">
        <v>13</v>
      </c>
      <c r="F12" s="2" t="s">
        <v>58</v>
      </c>
      <c r="G12" s="2" t="s">
        <v>15</v>
      </c>
      <c r="H12" s="2" t="s">
        <v>59</v>
      </c>
    </row>
    <row r="13" customFormat="false" ht="15" hidden="false" customHeight="false" outlineLevel="0" collapsed="false">
      <c r="A13" s="2" t="s">
        <v>60</v>
      </c>
      <c r="B13" s="2" t="s">
        <v>52</v>
      </c>
      <c r="C13" s="2" t="s">
        <v>11</v>
      </c>
      <c r="D13" s="2" t="s">
        <v>61</v>
      </c>
      <c r="E13" s="4" t="s">
        <v>19</v>
      </c>
      <c r="F13" s="2" t="s">
        <v>62</v>
      </c>
      <c r="G13" s="2" t="s">
        <v>15</v>
      </c>
      <c r="H13" s="2" t="s">
        <v>63</v>
      </c>
    </row>
    <row r="14" customFormat="false" ht="15" hidden="false" customHeight="false" outlineLevel="0" collapsed="false">
      <c r="A14" s="2" t="s">
        <v>64</v>
      </c>
      <c r="B14" s="2" t="s">
        <v>52</v>
      </c>
      <c r="C14" s="2" t="s">
        <v>11</v>
      </c>
      <c r="D14" s="2" t="s">
        <v>65</v>
      </c>
      <c r="E14" s="4" t="s">
        <v>19</v>
      </c>
      <c r="F14" s="2" t="s">
        <v>66</v>
      </c>
      <c r="G14" s="2" t="s">
        <v>15</v>
      </c>
      <c r="H14" s="2" t="s">
        <v>67</v>
      </c>
    </row>
    <row r="15" customFormat="false" ht="15" hidden="false" customHeight="false" outlineLevel="0" collapsed="false">
      <c r="A15" s="2" t="s">
        <v>68</v>
      </c>
      <c r="B15" s="2" t="s">
        <v>52</v>
      </c>
      <c r="C15" s="2" t="s">
        <v>11</v>
      </c>
      <c r="D15" s="2" t="s">
        <v>69</v>
      </c>
      <c r="E15" s="4" t="s">
        <v>19</v>
      </c>
      <c r="F15" s="2" t="s">
        <v>70</v>
      </c>
      <c r="G15" s="2" t="s">
        <v>15</v>
      </c>
      <c r="H15" s="2" t="s">
        <v>71</v>
      </c>
    </row>
    <row r="16" customFormat="false" ht="15" hidden="false" customHeight="false" outlineLevel="0" collapsed="false">
      <c r="A16" s="2" t="s">
        <v>72</v>
      </c>
      <c r="B16" s="2" t="s">
        <v>52</v>
      </c>
      <c r="C16" s="2" t="s">
        <v>11</v>
      </c>
      <c r="D16" s="2" t="s">
        <v>73</v>
      </c>
      <c r="E16" s="4" t="s">
        <v>19</v>
      </c>
      <c r="F16" s="2" t="s">
        <v>74</v>
      </c>
      <c r="G16" s="2" t="s">
        <v>15</v>
      </c>
      <c r="H16" s="2" t="s">
        <v>75</v>
      </c>
    </row>
    <row r="17" customFormat="false" ht="15" hidden="false" customHeight="false" outlineLevel="0" collapsed="false">
      <c r="A17" s="2" t="s">
        <v>76</v>
      </c>
      <c r="B17" s="2" t="s">
        <v>52</v>
      </c>
      <c r="C17" s="2" t="s">
        <v>11</v>
      </c>
      <c r="D17" s="2" t="s">
        <v>77</v>
      </c>
      <c r="E17" s="4" t="s">
        <v>19</v>
      </c>
      <c r="F17" s="2" t="s">
        <v>78</v>
      </c>
      <c r="G17" s="2" t="s">
        <v>15</v>
      </c>
      <c r="H17" s="2" t="s">
        <v>79</v>
      </c>
    </row>
    <row r="18" customFormat="false" ht="15" hidden="false" customHeight="false" outlineLevel="0" collapsed="false">
      <c r="A18" s="2" t="s">
        <v>80</v>
      </c>
      <c r="B18" s="2" t="s">
        <v>52</v>
      </c>
      <c r="C18" s="2" t="s">
        <v>11</v>
      </c>
      <c r="D18" s="2" t="s">
        <v>81</v>
      </c>
      <c r="E18" s="4" t="s">
        <v>19</v>
      </c>
      <c r="F18" s="2" t="s">
        <v>82</v>
      </c>
      <c r="G18" s="2" t="s">
        <v>15</v>
      </c>
      <c r="H18" s="2" t="s">
        <v>83</v>
      </c>
    </row>
    <row r="19" customFormat="false" ht="15" hidden="false" customHeight="false" outlineLevel="0" collapsed="false">
      <c r="A19" s="2" t="s">
        <v>84</v>
      </c>
      <c r="B19" s="2" t="s">
        <v>85</v>
      </c>
      <c r="C19" s="2" t="s">
        <v>11</v>
      </c>
      <c r="D19" s="2" t="s">
        <v>86</v>
      </c>
      <c r="E19" s="3" t="s">
        <v>13</v>
      </c>
      <c r="F19" s="2" t="s">
        <v>87</v>
      </c>
      <c r="G19" s="2" t="s">
        <v>15</v>
      </c>
      <c r="H19" s="2" t="s">
        <v>88</v>
      </c>
    </row>
    <row r="20" customFormat="false" ht="15" hidden="false" customHeight="false" outlineLevel="0" collapsed="false">
      <c r="A20" s="2" t="s">
        <v>89</v>
      </c>
      <c r="B20" s="2" t="s">
        <v>85</v>
      </c>
      <c r="C20" s="2" t="s">
        <v>11</v>
      </c>
      <c r="D20" s="2" t="s">
        <v>90</v>
      </c>
      <c r="E20" s="3" t="s">
        <v>13</v>
      </c>
      <c r="F20" s="2" t="s">
        <v>91</v>
      </c>
      <c r="G20" s="2" t="s">
        <v>15</v>
      </c>
      <c r="H20" s="2" t="s">
        <v>92</v>
      </c>
    </row>
    <row r="21" customFormat="false" ht="15" hidden="false" customHeight="false" outlineLevel="0" collapsed="false">
      <c r="A21" s="2" t="s">
        <v>93</v>
      </c>
      <c r="B21" s="2" t="s">
        <v>85</v>
      </c>
      <c r="C21" s="2" t="s">
        <v>11</v>
      </c>
      <c r="D21" s="2" t="s">
        <v>94</v>
      </c>
      <c r="E21" s="4" t="s">
        <v>19</v>
      </c>
      <c r="F21" s="2" t="s">
        <v>95</v>
      </c>
      <c r="G21" s="2" t="s">
        <v>15</v>
      </c>
      <c r="H21" s="2" t="s">
        <v>96</v>
      </c>
    </row>
    <row r="22" customFormat="false" ht="15" hidden="false" customHeight="false" outlineLevel="0" collapsed="false">
      <c r="A22" s="2" t="s">
        <v>97</v>
      </c>
      <c r="B22" s="2" t="s">
        <v>85</v>
      </c>
      <c r="C22" s="2" t="s">
        <v>11</v>
      </c>
      <c r="D22" s="2" t="s">
        <v>69</v>
      </c>
      <c r="E22" s="4" t="s">
        <v>19</v>
      </c>
      <c r="F22" s="2" t="s">
        <v>70</v>
      </c>
      <c r="G22" s="2" t="s">
        <v>15</v>
      </c>
      <c r="H22" s="2" t="s">
        <v>98</v>
      </c>
    </row>
    <row r="23" customFormat="false" ht="15" hidden="false" customHeight="false" outlineLevel="0" collapsed="false">
      <c r="A23" s="2" t="s">
        <v>99</v>
      </c>
      <c r="B23" s="2" t="s">
        <v>85</v>
      </c>
      <c r="C23" s="2" t="s">
        <v>11</v>
      </c>
      <c r="D23" s="2" t="s">
        <v>100</v>
      </c>
      <c r="E23" s="4" t="s">
        <v>19</v>
      </c>
      <c r="F23" s="2" t="s">
        <v>101</v>
      </c>
      <c r="G23" s="2" t="s">
        <v>15</v>
      </c>
      <c r="H23" s="2" t="s">
        <v>102</v>
      </c>
    </row>
    <row r="24" customFormat="false" ht="15" hidden="false" customHeight="false" outlineLevel="0" collapsed="false">
      <c r="A24" s="2" t="s">
        <v>103</v>
      </c>
      <c r="B24" s="2" t="s">
        <v>85</v>
      </c>
      <c r="C24" s="2" t="s">
        <v>11</v>
      </c>
      <c r="D24" s="2" t="s">
        <v>104</v>
      </c>
      <c r="E24" s="4" t="s">
        <v>19</v>
      </c>
      <c r="F24" s="2" t="s">
        <v>105</v>
      </c>
      <c r="G24" s="2" t="s">
        <v>15</v>
      </c>
      <c r="H24" s="2" t="s">
        <v>79</v>
      </c>
    </row>
    <row r="25" customFormat="false" ht="23.85" hidden="false" customHeight="false" outlineLevel="0" collapsed="false">
      <c r="A25" s="2" t="s">
        <v>106</v>
      </c>
      <c r="B25" s="2" t="s">
        <v>10</v>
      </c>
      <c r="C25" s="2" t="s">
        <v>11</v>
      </c>
      <c r="D25" s="2" t="s">
        <v>107</v>
      </c>
      <c r="E25" s="4" t="s">
        <v>19</v>
      </c>
      <c r="F25" s="2" t="s">
        <v>108</v>
      </c>
      <c r="G25" s="2" t="s">
        <v>15</v>
      </c>
      <c r="H25" s="2" t="s">
        <v>109</v>
      </c>
    </row>
    <row r="26" customFormat="false" ht="15" hidden="false" customHeight="false" outlineLevel="0" collapsed="false">
      <c r="A26" s="2" t="s">
        <v>110</v>
      </c>
      <c r="B26" s="2" t="s">
        <v>10</v>
      </c>
      <c r="C26" s="2" t="s">
        <v>11</v>
      </c>
      <c r="D26" s="2" t="s">
        <v>111</v>
      </c>
      <c r="E26" s="4" t="s">
        <v>19</v>
      </c>
      <c r="F26" s="2" t="s">
        <v>112</v>
      </c>
      <c r="G26" s="2" t="s">
        <v>15</v>
      </c>
      <c r="H26" s="2" t="s">
        <v>113</v>
      </c>
    </row>
    <row r="27" customFormat="false" ht="23.85" hidden="false" customHeight="false" outlineLevel="0" collapsed="false">
      <c r="A27" s="2" t="s">
        <v>114</v>
      </c>
      <c r="B27" s="2" t="s">
        <v>10</v>
      </c>
      <c r="C27" s="2" t="s">
        <v>11</v>
      </c>
      <c r="D27" s="2" t="s">
        <v>115</v>
      </c>
      <c r="E27" s="3" t="s">
        <v>13</v>
      </c>
      <c r="F27" s="2" t="s">
        <v>116</v>
      </c>
      <c r="G27" s="2" t="s">
        <v>15</v>
      </c>
      <c r="H27" s="2" t="s">
        <v>117</v>
      </c>
    </row>
    <row r="28" customFormat="false" ht="23.85" hidden="false" customHeight="false" outlineLevel="0" collapsed="false">
      <c r="A28" s="2" t="s">
        <v>118</v>
      </c>
      <c r="B28" s="2" t="s">
        <v>10</v>
      </c>
      <c r="C28" s="2" t="s">
        <v>11</v>
      </c>
      <c r="D28" s="2" t="s">
        <v>119</v>
      </c>
      <c r="E28" s="4" t="s">
        <v>19</v>
      </c>
      <c r="F28" s="2" t="s">
        <v>120</v>
      </c>
      <c r="G28" s="2" t="s">
        <v>15</v>
      </c>
      <c r="H28" s="2" t="s">
        <v>121</v>
      </c>
    </row>
    <row r="29" customFormat="false" ht="15" hidden="false" customHeight="false" outlineLevel="0" collapsed="false">
      <c r="A29" s="2" t="s">
        <v>122</v>
      </c>
      <c r="B29" s="2" t="s">
        <v>10</v>
      </c>
      <c r="C29" s="2" t="s">
        <v>11</v>
      </c>
      <c r="D29" s="2" t="s">
        <v>123</v>
      </c>
      <c r="E29" s="4" t="s">
        <v>19</v>
      </c>
      <c r="F29" s="2" t="s">
        <v>124</v>
      </c>
      <c r="G29" s="2" t="s">
        <v>15</v>
      </c>
      <c r="H29" s="2" t="s">
        <v>125</v>
      </c>
    </row>
    <row r="30" customFormat="false" ht="23.85" hidden="false" customHeight="false" outlineLevel="0" collapsed="false">
      <c r="A30" s="2" t="s">
        <v>126</v>
      </c>
      <c r="B30" s="2" t="s">
        <v>10</v>
      </c>
      <c r="C30" s="2" t="s">
        <v>11</v>
      </c>
      <c r="D30" s="2" t="s">
        <v>127</v>
      </c>
      <c r="E30" s="4" t="s">
        <v>19</v>
      </c>
      <c r="F30" s="2" t="s">
        <v>128</v>
      </c>
      <c r="G30" s="2" t="s">
        <v>15</v>
      </c>
      <c r="H30" s="2" t="s">
        <v>129</v>
      </c>
    </row>
    <row r="31" customFormat="false" ht="23.85" hidden="false" customHeight="false" outlineLevel="0" collapsed="false">
      <c r="A31" s="2" t="s">
        <v>130</v>
      </c>
      <c r="B31" s="2" t="s">
        <v>10</v>
      </c>
      <c r="C31" s="2" t="s">
        <v>11</v>
      </c>
      <c r="D31" s="2" t="s">
        <v>131</v>
      </c>
      <c r="E31" s="4" t="s">
        <v>19</v>
      </c>
      <c r="F31" s="2" t="s">
        <v>132</v>
      </c>
      <c r="G31" s="2" t="s">
        <v>15</v>
      </c>
      <c r="H31" s="2" t="s">
        <v>133</v>
      </c>
    </row>
  </sheetData>
  <autoFilter ref="A1:I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5" t="s">
        <v>134</v>
      </c>
    </row>
    <row r="3" customFormat="false" ht="26.85" hidden="false" customHeight="false" outlineLevel="0" collapsed="false">
      <c r="A3" s="6" t="s">
        <v>135</v>
      </c>
      <c r="B3" s="7" t="s">
        <v>136</v>
      </c>
    </row>
    <row r="4" customFormat="false" ht="15" hidden="false" customHeight="false" outlineLevel="0" collapsed="false">
      <c r="A4" s="6"/>
      <c r="B4" s="7"/>
    </row>
    <row r="5" customFormat="false" ht="15" hidden="false" customHeight="false" outlineLevel="0" collapsed="false">
      <c r="A5" s="6" t="s">
        <v>137</v>
      </c>
      <c r="B5" s="7" t="n">
        <f aca="false">COUNTA('Page Exclusion Cases'!A2:A31)</f>
        <v>30</v>
      </c>
    </row>
    <row r="6" customFormat="false" ht="15" hidden="false" customHeight="false" outlineLevel="0" collapsed="false">
      <c r="A6" s="6" t="s">
        <v>13</v>
      </c>
      <c r="B6" s="7" t="n">
        <f aca="false">COUNTIF('Page Exclusion Cases'!E2:E31,"Happy")</f>
        <v>7</v>
      </c>
    </row>
    <row r="7" customFormat="false" ht="15" hidden="false" customHeight="false" outlineLevel="0" collapsed="false">
      <c r="A7" s="6" t="s">
        <v>19</v>
      </c>
      <c r="B7" s="7" t="n">
        <f aca="false">COUNTIF('Page Exclusion Cases'!E2:E31,"Edge")</f>
        <v>23</v>
      </c>
    </row>
    <row r="8" customFormat="false" ht="15" hidden="false" customHeight="false" outlineLevel="0" collapsed="false">
      <c r="A8" s="6"/>
      <c r="B8" s="7"/>
    </row>
    <row r="9" customFormat="false" ht="15" hidden="false" customHeight="false" outlineLevel="0" collapsed="false">
      <c r="A9" s="6" t="s">
        <v>138</v>
      </c>
      <c r="B9" s="7" t="n">
        <f aca="false">COUNTIF('Page Exclusion Cases'!I2:I31,"Pass")</f>
        <v>0</v>
      </c>
    </row>
    <row r="10" customFormat="false" ht="15" hidden="false" customHeight="false" outlineLevel="0" collapsed="false">
      <c r="A10" s="6" t="s">
        <v>139</v>
      </c>
      <c r="B10" s="7" t="n">
        <f aca="false">COUNTIF('Page Exclusion Cases'!I2:I31,"Fail")</f>
        <v>0</v>
      </c>
    </row>
    <row r="11" customFormat="false" ht="15" hidden="false" customHeight="false" outlineLevel="0" collapsed="false">
      <c r="A11" s="6" t="s">
        <v>140</v>
      </c>
      <c r="B11" s="7" t="n">
        <f aca="false">COUNTIF('Page Exclusion Cases'!I2:I31,"Not Run")</f>
        <v>0</v>
      </c>
    </row>
    <row r="12" customFormat="false" ht="15" hidden="false" customHeight="false" outlineLevel="0" collapsed="false">
      <c r="A12" s="6"/>
      <c r="B12" s="7"/>
    </row>
    <row r="13" customFormat="false" ht="15" hidden="false" customHeight="false" outlineLevel="0" collapsed="false">
      <c r="A13" s="6" t="s">
        <v>141</v>
      </c>
      <c r="B13" s="8" t="n">
        <f aca="false">IF(B5-B11=0,0,B9/(B5-B11))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2026-05-28T09:10:48Z</dcterms:created>
  <dc:creator>openpyxl</dc:creator>
  <dc:description/>
  <dc:language>en-US</dc:language>
  <cp:lastModifiedBy/>
  <dcterms:modified xsi:type="dcterms:W3CDTF">2026-05-28T09:10:48Z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