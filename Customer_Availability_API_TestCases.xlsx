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Availability" sheetId="1" state="visible" r:id="rId3"/>
    <sheet name="Summary" sheetId="2" state="visible" r:id="rId4"/>
  </sheets>
  <definedNames>
    <definedName function="false" hidden="true" localSheetId="0" name="_xlnm._FilterDatabase" vbProcedure="false">'Customer Availability'!$A$1:$I$25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<sst xmlns="http://schemas.openxmlformats.org/spreadsheetml/2006/main" count="239" uniqueCount="126">
  <si>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</si>
  <si>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</si>
  <si>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</si>
  <si>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</si>
  <si>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</si>
  <si>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</si>
  <si>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</si>
  <si>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</si>
  <si>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</si>
  <si>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</si>
  <si>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/tasks</t>
  </si>
  <si>
    <t xml:space="preserve">POST</t>
  </si>
  <si>
    <t xml:space="preserve">Create task with a valid window</t>
  </si>
  <si>
    <t xml:space="preserve">Happy</t>
  </si>
  <si>
    <t xml:space="preserve">customerAvailability:{startDateTime:"2026-06-25T09:00Z", endDateTime:"2026-06-25T12:00Z"}</t>
  </si>
  <si>
    <t xml:space="preserve">201</t>
  </si>
  <si>
    <t xml:space="preserve">Task created and response echoes the same customerAvailability object.</t>
  </si>
  <si>
    <t xml:space="preserve">Not Run</t>
  </si>
  <si>
    <t xml:space="preserve">TC002</t>
  </si>
  <si>
    <t xml:space="preserve">Create task without customerAvailability key</t>
  </si>
  <si>
    <t xml:space="preserve">customerAvailability key omitted</t>
  </si>
  <si>
    <t xml:space="preserve">Task created with customerAvailability = null in the response.</t>
  </si>
  <si>
    <t xml:space="preserve">TC003</t>
  </si>
  <si>
    <t xml:space="preserve">Create task with customerAvailability explicitly null</t>
  </si>
  <si>
    <t xml:space="preserve">Edge</t>
  </si>
  <si>
    <t xml:space="preserve">customerAvailability: null</t>
  </si>
  <si>
    <t xml:space="preserve">TC004</t>
  </si>
  <si>
    <t xml:space="preserve">Create task sending only startDateTime</t>
  </si>
  <si>
    <t xml:space="preserve">customerAvailability:{startDateTime:'09:00Z'} (endDateTime omitted)</t>
  </si>
  <si>
    <t xml:space="preserve">400</t>
  </si>
  <si>
    <t xml:space="preserve">Validation error: startDateTime and endDateTime are required together.</t>
  </si>
  <si>
    <t xml:space="preserve">TC005</t>
  </si>
  <si>
    <t xml:space="preserve">Create task with endDateTime equal to startDateTime</t>
  </si>
  <si>
    <t xml:space="preserve">Both = 2026-06-25T09:00Z</t>
  </si>
  <si>
    <t xml:space="preserve">Validation error: endDateTime must be after startDateTime.</t>
  </si>
  <si>
    <t xml:space="preserve">TC006</t>
  </si>
  <si>
    <t xml:space="preserve">Create task with non-ISO datetime string</t>
  </si>
  <si>
    <t xml:space="preserve">startDateTime:"25/06/2026 9am"</t>
  </si>
  <si>
    <t xml:space="preserve">Validation error: datetime must be ISO 8601.</t>
  </si>
  <si>
    <t xml:space="preserve">TC007</t>
  </si>
  <si>
    <t xml:space="preserve">/tasks/:id</t>
  </si>
  <si>
    <t xml:space="preserve">PUT</t>
  </si>
  <si>
    <t xml:space="preserve">Update task with customerAvailability key omitted</t>
  </si>
  <si>
    <t xml:space="preserve">PUT body has no customerAvailability key; task already has a window</t>
  </si>
  <si>
    <t xml:space="preserve">200</t>
  </si>
  <si>
    <t xml:space="preserve">Existing window preserved unchanged (merge: omit = no-op).</t>
  </si>
  <si>
    <t xml:space="preserve">TC008</t>
  </si>
  <si>
    <t xml:space="preserve">Update task with customerAvailability: null</t>
  </si>
  <si>
    <t xml:space="preserve">PUT body customerAvailability: null</t>
  </si>
  <si>
    <t xml:space="preserve">Existing window cleared; subsequent GET returns customerAvailability = null.</t>
  </si>
  <si>
    <t xml:space="preserve">TC009</t>
  </si>
  <si>
    <t xml:space="preserve">Update task with a new window object</t>
  </si>
  <si>
    <t xml:space="preserve">PUT body customerAvailability:{start:'10:00Z', end:'14:00Z'}</t>
  </si>
  <si>
    <t xml:space="preserve">Window replaced with the new values; response echoes them.</t>
  </si>
  <si>
    <t xml:space="preserve">TC010</t>
  </si>
  <si>
    <t xml:space="preserve">Update task sending only endDateTime</t>
  </si>
  <si>
    <t xml:space="preserve">customerAvailability:{endDateTime only}</t>
  </si>
  <si>
    <t xml:space="preserve">Validation error: both startDateTime and endDateTime required together.</t>
  </si>
  <si>
    <t xml:space="preserve">TC011</t>
  </si>
  <si>
    <t xml:space="preserve">Update task with endDateTime before startDateTime</t>
  </si>
  <si>
    <t xml:space="preserve">start:'12:00Z', end:'09:00Z'</t>
  </si>
  <si>
    <t xml:space="preserve">TC012</t>
  </si>
  <si>
    <t xml:space="preserve">Update task with non-existent task id</t>
  </si>
  <si>
    <t xml:space="preserve">taskId = unknown UUID</t>
  </si>
  <si>
    <t xml:space="preserve">404</t>
  </si>
  <si>
    <t xml:space="preserve">Task not found error returned.</t>
  </si>
  <si>
    <t xml:space="preserve">TC013</t>
  </si>
  <si>
    <t xml:space="preserve">GET</t>
  </si>
  <si>
    <t xml:space="preserve">Fetch task that has a window</t>
  </si>
  <si>
    <t xml:space="preserve">Valid taskId with stored window</t>
  </si>
  <si>
    <t xml:space="preserve">Response contains customerAvailability = {startDateTime, endDateTime}.</t>
  </si>
  <si>
    <t xml:space="preserve">TC014</t>
  </si>
  <si>
    <t xml:space="preserve">Fetch task that has no window</t>
  </si>
  <si>
    <t xml:space="preserve">Valid taskId; window never set</t>
  </si>
  <si>
    <t xml:space="preserve">Response contains customerAvailability = null.</t>
  </si>
  <si>
    <t xml:space="preserve">TC015</t>
  </si>
  <si>
    <t xml:space="preserve">List tasks (mix of windowed + non-windowed)</t>
  </si>
  <si>
    <t xml:space="preserve">GET /tasks</t>
  </si>
  <si>
    <t xml:space="preserve">Every item carries customerAvailability — object when set, null when not.</t>
  </si>
  <si>
    <t xml:space="preserve">TC016</t>
  </si>
  <si>
    <t xml:space="preserve">/tasks/team</t>
  </si>
  <si>
    <t xml:space="preserve">Team task list returns customerAvailability</t>
  </si>
  <si>
    <t xml:space="preserve">GET /tasks/team</t>
  </si>
  <si>
    <t xml:space="preserve">Each item carries customerAvailability (object or null) — same select shape as /tasks.</t>
  </si>
  <si>
    <t xml:space="preserve">TC017</t>
  </si>
  <si>
    <t xml:space="preserve">/tasks/scheduler</t>
  </si>
  <si>
    <t xml:space="preserve">Dispatch board cards include the window</t>
  </si>
  <si>
    <t xml:space="preserve">GET /tasks/scheduler</t>
  </si>
  <si>
    <t xml:space="preserve">Every scheduler card includes customerAvailability (object or null).</t>
  </si>
  <si>
    <t xml:space="preserve">TC018</t>
  </si>
  <si>
    <t xml:space="preserve">/tasks/unschedule-tasks</t>
  </si>
  <si>
    <t xml:space="preserve">Unscheduled list on v5.7.0 includes the window</t>
  </si>
  <si>
    <t xml:space="preserve">x-api-version=5.7.0</t>
  </si>
  <si>
    <t xml:space="preserve">Each item includes customerAvailability (object or null).</t>
  </si>
  <si>
    <t xml:space="preserve">TC019</t>
  </si>
  <si>
    <t xml:space="preserve">Unscheduled list below v5.7.0 strips the window</t>
  </si>
  <si>
    <t xml:space="preserve">x-api-version=5.6.0 (or absent)</t>
  </si>
  <si>
    <t xml:space="preserve">Response items have NO customerAvailability key (v1 shape).</t>
  </si>
  <si>
    <t xml:space="preserve">TC020</t>
  </si>
  <si>
    <t xml:space="preserve">/tasks/unassigned-tasks</t>
  </si>
  <si>
    <t xml:space="preserve">Unassigned list on v5.7.0 includes the window</t>
  </si>
  <si>
    <t xml:space="preserve">TC021</t>
  </si>
  <si>
    <t xml:space="preserve">Unassigned list below v5.7.0 strips the window</t>
  </si>
  <si>
    <t xml:space="preserve">TC022</t>
  </si>
  <si>
    <t xml:space="preserve">Create task with offset-tz window</t>
  </si>
  <si>
    <t xml:space="preserve">start:"2026-06-25T09:00+05:30", end:"2026-06-25T12:00+05:30"</t>
  </si>
  <si>
    <t xml:space="preserve">Stored and returned in UTC (Z) — values reflect correct UTC conversion.</t>
  </si>
  <si>
    <t xml:space="preserve">TC023</t>
  </si>
  <si>
    <t xml:space="preserve">Create task with multi-day window</t>
  </si>
  <si>
    <t xml:space="preserve">start:"2026-06-25T22:00Z", end:"2026-06-27T06:00Z"</t>
  </si>
  <si>
    <t xml:space="preserve">Multi-day window accepted; response echoes both timestamps verbatim.</t>
  </si>
  <si>
    <t xml:space="preserve">TC024</t>
  </si>
  <si>
    <t xml:space="preserve">Create task with past window</t>
  </si>
  <si>
    <t xml:space="preserve">start and end are yesterday</t>
  </si>
  <si>
    <t xml:space="preserve">Accepted — no past-block rule on customerAvailability per PRD.</t>
  </si>
  <si>
    <t xml:space="preserve">Customer Availability Window — Test Plan</t>
  </si>
  <si>
    <t xml:space="preserve">Field shape</t>
  </si>
  <si>
    <t xml:space="preserve">customerAvailability: { startDateTime, endDateTime } | null</t>
  </si>
  <si>
    <t xml:space="preserve">Version gate</t>
  </si>
  <si>
    <t xml:space="preserve">/tasks/unschedule-tasks and /tasks/unassigned-tasks require x-api-version &gt;= 5.7.0</t>
  </si>
  <si>
    <t xml:space="preserve">PUT merge</t>
  </si>
  <si>
    <t xml:space="preserve">key omitted = preserve · null = clear · object = set</t>
  </si>
  <si>
    <t xml:space="preserve">Total cases</t>
  </si>
  <si>
    <t xml:space="preserve">Passed</t>
  </si>
  <si>
    <t xml:space="preserve">Failed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</si>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</sst>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50"/>
    <col collapsed="false" customWidth="true" hidden="false" outlineLevel="0" max="7" min="7" style="0" width="15"/>
    <col collapsed="false" customWidth="true" hidden="false" outlineLevel="0" max="8" min="8" style="0" width="62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0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19</v>
      </c>
      <c r="E3" s="3" t="s">
        <v>13</v>
      </c>
      <c r="F3" s="2" t="s">
        <v>20</v>
      </c>
      <c r="G3" s="2" t="s">
        <v>15</v>
      </c>
      <c r="H3" s="2" t="s">
        <v>21</v>
      </c>
      <c r="I3" s="0" t="s">
        <v>17</v>
      </c>
    </row>
    <row r="4" customFormat="false" ht="15" hidden="false" customHeight="false" outlineLevel="0" collapsed="false">
      <c r="A4" s="2" t="s">
        <v>22</v>
      </c>
      <c r="B4" s="2" t="s">
        <v>10</v>
      </c>
      <c r="C4" s="2" t="s">
        <v>11</v>
      </c>
      <c r="D4" s="2" t="s">
        <v>23</v>
      </c>
      <c r="E4" s="4" t="s">
        <v>24</v>
      </c>
      <c r="F4" s="2" t="s">
        <v>25</v>
      </c>
      <c r="G4" s="2" t="s">
        <v>15</v>
      </c>
      <c r="H4" s="2" t="s">
        <v>21</v>
      </c>
      <c r="I4" s="0" t="s">
        <v>17</v>
      </c>
    </row>
    <row r="5" customFormat="false" ht="23.85" hidden="false" customHeight="false" outlineLevel="0" collapsed="false">
      <c r="A5" s="2" t="s">
        <v>26</v>
      </c>
      <c r="B5" s="2" t="s">
        <v>10</v>
      </c>
      <c r="C5" s="2" t="s">
        <v>11</v>
      </c>
      <c r="D5" s="2" t="s">
        <v>27</v>
      </c>
      <c r="E5" s="4" t="s">
        <v>24</v>
      </c>
      <c r="F5" s="2" t="s">
        <v>28</v>
      </c>
      <c r="G5" s="2" t="s">
        <v>29</v>
      </c>
      <c r="H5" s="2" t="s">
        <v>30</v>
      </c>
      <c r="I5" s="0" t="s">
        <v>17</v>
      </c>
    </row>
    <row r="6" customFormat="false" ht="15" hidden="false" customHeight="false" outlineLevel="0" collapsed="false">
      <c r="A6" s="2" t="s">
        <v>31</v>
      </c>
      <c r="B6" s="2" t="s">
        <v>10</v>
      </c>
      <c r="C6" s="2" t="s">
        <v>11</v>
      </c>
      <c r="D6" s="2" t="s">
        <v>32</v>
      </c>
      <c r="E6" s="4" t="s">
        <v>24</v>
      </c>
      <c r="F6" s="2" t="s">
        <v>33</v>
      </c>
      <c r="G6" s="2" t="s">
        <v>29</v>
      </c>
      <c r="H6" s="2" t="s">
        <v>34</v>
      </c>
      <c r="I6" s="0" t="s">
        <v>17</v>
      </c>
    </row>
    <row r="7" customFormat="false" ht="15" hidden="false" customHeight="false" outlineLevel="0" collapsed="false">
      <c r="A7" s="2" t="s">
        <v>35</v>
      </c>
      <c r="B7" s="2" t="s">
        <v>10</v>
      </c>
      <c r="C7" s="2" t="s">
        <v>11</v>
      </c>
      <c r="D7" s="2" t="s">
        <v>36</v>
      </c>
      <c r="E7" s="4" t="s">
        <v>24</v>
      </c>
      <c r="F7" s="2" t="s">
        <v>37</v>
      </c>
      <c r="G7" s="2" t="s">
        <v>29</v>
      </c>
      <c r="H7" s="2" t="s">
        <v>38</v>
      </c>
      <c r="I7" s="0" t="s">
        <v>17</v>
      </c>
    </row>
    <row r="8" customFormat="false" ht="23.8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3" t="s">
        <v>13</v>
      </c>
      <c r="F8" s="2" t="s">
        <v>43</v>
      </c>
      <c r="G8" s="2" t="s">
        <v>44</v>
      </c>
      <c r="H8" s="2" t="s">
        <v>45</v>
      </c>
      <c r="I8" s="0" t="s">
        <v>17</v>
      </c>
    </row>
    <row r="9" customFormat="false" ht="23.85" hidden="false" customHeight="false" outlineLevel="0" collapsed="false">
      <c r="A9" s="2" t="s">
        <v>46</v>
      </c>
      <c r="B9" s="2" t="s">
        <v>40</v>
      </c>
      <c r="C9" s="2" t="s">
        <v>41</v>
      </c>
      <c r="D9" s="2" t="s">
        <v>47</v>
      </c>
      <c r="E9" s="3" t="s">
        <v>13</v>
      </c>
      <c r="F9" s="2" t="s">
        <v>48</v>
      </c>
      <c r="G9" s="2" t="s">
        <v>44</v>
      </c>
      <c r="H9" s="2" t="s">
        <v>49</v>
      </c>
      <c r="I9" s="0" t="s">
        <v>17</v>
      </c>
    </row>
    <row r="10" customFormat="false" ht="15" hidden="false" customHeight="false" outlineLevel="0" collapsed="false">
      <c r="A10" s="2" t="s">
        <v>50</v>
      </c>
      <c r="B10" s="2" t="s">
        <v>40</v>
      </c>
      <c r="C10" s="2" t="s">
        <v>41</v>
      </c>
      <c r="D10" s="2" t="s">
        <v>51</v>
      </c>
      <c r="E10" s="3" t="s">
        <v>13</v>
      </c>
      <c r="F10" s="2" t="s">
        <v>52</v>
      </c>
      <c r="G10" s="2" t="s">
        <v>44</v>
      </c>
      <c r="H10" s="2" t="s">
        <v>53</v>
      </c>
      <c r="I10" s="0" t="s">
        <v>17</v>
      </c>
    </row>
    <row r="11" customFormat="false" ht="15" hidden="false" customHeight="false" outlineLevel="0" collapsed="false">
      <c r="A11" s="2" t="s">
        <v>54</v>
      </c>
      <c r="B11" s="2" t="s">
        <v>40</v>
      </c>
      <c r="C11" s="2" t="s">
        <v>41</v>
      </c>
      <c r="D11" s="2" t="s">
        <v>55</v>
      </c>
      <c r="E11" s="4" t="s">
        <v>24</v>
      </c>
      <c r="F11" s="2" t="s">
        <v>56</v>
      </c>
      <c r="G11" s="2" t="s">
        <v>29</v>
      </c>
      <c r="H11" s="2" t="s">
        <v>57</v>
      </c>
      <c r="I11" s="0" t="s">
        <v>17</v>
      </c>
    </row>
    <row r="12" customFormat="false" ht="15" hidden="false" customHeight="false" outlineLevel="0" collapsed="false">
      <c r="A12" s="2" t="s">
        <v>58</v>
      </c>
      <c r="B12" s="2" t="s">
        <v>40</v>
      </c>
      <c r="C12" s="2" t="s">
        <v>41</v>
      </c>
      <c r="D12" s="2" t="s">
        <v>59</v>
      </c>
      <c r="E12" s="4" t="s">
        <v>24</v>
      </c>
      <c r="F12" s="2" t="s">
        <v>60</v>
      </c>
      <c r="G12" s="2" t="s">
        <v>29</v>
      </c>
      <c r="H12" s="2" t="s">
        <v>34</v>
      </c>
      <c r="I12" s="0" t="s">
        <v>17</v>
      </c>
    </row>
    <row r="13" customFormat="false" ht="15" hidden="false" customHeight="false" outlineLevel="0" collapsed="false">
      <c r="A13" s="2" t="s">
        <v>61</v>
      </c>
      <c r="B13" s="2" t="s">
        <v>40</v>
      </c>
      <c r="C13" s="2" t="s">
        <v>41</v>
      </c>
      <c r="D13" s="2" t="s">
        <v>62</v>
      </c>
      <c r="E13" s="4" t="s">
        <v>24</v>
      </c>
      <c r="F13" s="2" t="s">
        <v>63</v>
      </c>
      <c r="G13" s="2" t="s">
        <v>64</v>
      </c>
      <c r="H13" s="2" t="s">
        <v>65</v>
      </c>
      <c r="I13" s="0" t="s">
        <v>17</v>
      </c>
    </row>
    <row r="14" customFormat="false" ht="15" hidden="false" customHeight="false" outlineLevel="0" collapsed="false">
      <c r="A14" s="2" t="s">
        <v>66</v>
      </c>
      <c r="B14" s="2" t="s">
        <v>40</v>
      </c>
      <c r="C14" s="2" t="s">
        <v>67</v>
      </c>
      <c r="D14" s="2" t="s">
        <v>68</v>
      </c>
      <c r="E14" s="3" t="s">
        <v>13</v>
      </c>
      <c r="F14" s="2" t="s">
        <v>69</v>
      </c>
      <c r="G14" s="2" t="s">
        <v>44</v>
      </c>
      <c r="H14" s="2" t="s">
        <v>70</v>
      </c>
      <c r="I14" s="0" t="s">
        <v>17</v>
      </c>
    </row>
    <row r="15" customFormat="false" ht="15" hidden="false" customHeight="false" outlineLevel="0" collapsed="false">
      <c r="A15" s="2" t="s">
        <v>71</v>
      </c>
      <c r="B15" s="2" t="s">
        <v>40</v>
      </c>
      <c r="C15" s="2" t="s">
        <v>67</v>
      </c>
      <c r="D15" s="2" t="s">
        <v>72</v>
      </c>
      <c r="E15" s="4" t="s">
        <v>24</v>
      </c>
      <c r="F15" s="2" t="s">
        <v>73</v>
      </c>
      <c r="G15" s="2" t="s">
        <v>44</v>
      </c>
      <c r="H15" s="2" t="s">
        <v>74</v>
      </c>
      <c r="I15" s="0" t="s">
        <v>17</v>
      </c>
    </row>
    <row r="16" customFormat="false" ht="15" hidden="false" customHeight="false" outlineLevel="0" collapsed="false">
      <c r="A16" s="2" t="s">
        <v>75</v>
      </c>
      <c r="B16" s="2" t="s">
        <v>10</v>
      </c>
      <c r="C16" s="2" t="s">
        <v>67</v>
      </c>
      <c r="D16" s="2" t="s">
        <v>76</v>
      </c>
      <c r="E16" s="3" t="s">
        <v>13</v>
      </c>
      <c r="F16" s="2" t="s">
        <v>77</v>
      </c>
      <c r="G16" s="2" t="s">
        <v>44</v>
      </c>
      <c r="H16" s="2" t="s">
        <v>78</v>
      </c>
      <c r="I16" s="0" t="s">
        <v>17</v>
      </c>
    </row>
    <row r="17" customFormat="false" ht="23.85" hidden="false" customHeight="false" outlineLevel="0" collapsed="false">
      <c r="A17" s="2" t="s">
        <v>79</v>
      </c>
      <c r="B17" s="2" t="s">
        <v>80</v>
      </c>
      <c r="C17" s="2" t="s">
        <v>67</v>
      </c>
      <c r="D17" s="2" t="s">
        <v>81</v>
      </c>
      <c r="E17" s="3" t="s">
        <v>13</v>
      </c>
      <c r="F17" s="2" t="s">
        <v>82</v>
      </c>
      <c r="G17" s="2" t="s">
        <v>44</v>
      </c>
      <c r="H17" s="2" t="s">
        <v>83</v>
      </c>
      <c r="I17" s="0" t="s">
        <v>17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67</v>
      </c>
      <c r="D18" s="2" t="s">
        <v>86</v>
      </c>
      <c r="E18" s="3" t="s">
        <v>13</v>
      </c>
      <c r="F18" s="2" t="s">
        <v>87</v>
      </c>
      <c r="G18" s="2" t="s">
        <v>44</v>
      </c>
      <c r="H18" s="2" t="s">
        <v>88</v>
      </c>
      <c r="I18" s="0" t="s">
        <v>17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67</v>
      </c>
      <c r="D19" s="2" t="s">
        <v>91</v>
      </c>
      <c r="E19" s="3" t="s">
        <v>13</v>
      </c>
      <c r="F19" s="2" t="s">
        <v>92</v>
      </c>
      <c r="G19" s="2" t="s">
        <v>44</v>
      </c>
      <c r="H19" s="2" t="s">
        <v>93</v>
      </c>
      <c r="I19" s="0" t="s">
        <v>17</v>
      </c>
    </row>
    <row r="20" customFormat="false" ht="15" hidden="false" customHeight="false" outlineLevel="0" collapsed="false">
      <c r="A20" s="2" t="s">
        <v>94</v>
      </c>
      <c r="B20" s="2" t="s">
        <v>90</v>
      </c>
      <c r="C20" s="2" t="s">
        <v>67</v>
      </c>
      <c r="D20" s="2" t="s">
        <v>95</v>
      </c>
      <c r="E20" s="4" t="s">
        <v>24</v>
      </c>
      <c r="F20" s="2" t="s">
        <v>96</v>
      </c>
      <c r="G20" s="2" t="s">
        <v>44</v>
      </c>
      <c r="H20" s="2" t="s">
        <v>97</v>
      </c>
      <c r="I20" s="0" t="s">
        <v>17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67</v>
      </c>
      <c r="D21" s="2" t="s">
        <v>100</v>
      </c>
      <c r="E21" s="3" t="s">
        <v>13</v>
      </c>
      <c r="F21" s="2" t="s">
        <v>92</v>
      </c>
      <c r="G21" s="2" t="s">
        <v>44</v>
      </c>
      <c r="H21" s="2" t="s">
        <v>93</v>
      </c>
      <c r="I21" s="0" t="s">
        <v>17</v>
      </c>
    </row>
    <row r="22" customFormat="false" ht="15" hidden="false" customHeight="false" outlineLevel="0" collapsed="false">
      <c r="A22" s="2" t="s">
        <v>101</v>
      </c>
      <c r="B22" s="2" t="s">
        <v>99</v>
      </c>
      <c r="C22" s="2" t="s">
        <v>67</v>
      </c>
      <c r="D22" s="2" t="s">
        <v>102</v>
      </c>
      <c r="E22" s="4" t="s">
        <v>24</v>
      </c>
      <c r="F22" s="2" t="s">
        <v>96</v>
      </c>
      <c r="G22" s="2" t="s">
        <v>44</v>
      </c>
      <c r="H22" s="2" t="s">
        <v>97</v>
      </c>
      <c r="I22" s="0" t="s">
        <v>17</v>
      </c>
    </row>
    <row r="23" customFormat="false" ht="23.85" hidden="false" customHeight="false" outlineLevel="0" collapsed="false">
      <c r="A23" s="2" t="s">
        <v>103</v>
      </c>
      <c r="B23" s="2" t="s">
        <v>10</v>
      </c>
      <c r="C23" s="2" t="s">
        <v>11</v>
      </c>
      <c r="D23" s="2" t="s">
        <v>104</v>
      </c>
      <c r="E23" s="4" t="s">
        <v>24</v>
      </c>
      <c r="F23" s="2" t="s">
        <v>105</v>
      </c>
      <c r="G23" s="2" t="s">
        <v>15</v>
      </c>
      <c r="H23" s="2" t="s">
        <v>106</v>
      </c>
      <c r="I23" s="0" t="s">
        <v>17</v>
      </c>
    </row>
    <row r="24" customFormat="false" ht="15" hidden="false" customHeight="false" outlineLevel="0" collapsed="false">
      <c r="A24" s="2" t="s">
        <v>107</v>
      </c>
      <c r="B24" s="2" t="s">
        <v>10</v>
      </c>
      <c r="C24" s="2" t="s">
        <v>11</v>
      </c>
      <c r="D24" s="2" t="s">
        <v>108</v>
      </c>
      <c r="E24" s="4" t="s">
        <v>24</v>
      </c>
      <c r="F24" s="2" t="s">
        <v>109</v>
      </c>
      <c r="G24" s="2" t="s">
        <v>15</v>
      </c>
      <c r="H24" s="2" t="s">
        <v>110</v>
      </c>
      <c r="I24" s="0" t="s">
        <v>17</v>
      </c>
    </row>
    <row r="25" customFormat="false" ht="15" hidden="false" customHeight="false" outlineLevel="0" collapsed="false">
      <c r="A25" s="2" t="s">
        <v>111</v>
      </c>
      <c r="B25" s="2" t="s">
        <v>10</v>
      </c>
      <c r="C25" s="2" t="s">
        <v>11</v>
      </c>
      <c r="D25" s="2" t="s">
        <v>112</v>
      </c>
      <c r="E25" s="4" t="s">
        <v>24</v>
      </c>
      <c r="F25" s="2" t="s">
        <v>113</v>
      </c>
      <c r="G25" s="2" t="s">
        <v>15</v>
      </c>
      <c r="H25" s="2" t="s">
        <v>114</v>
      </c>
      <c r="I25" s="0" t="s">
        <v>17</v>
      </c>
    </row>
  </sheetData>
  <autoFilter ref="A1:I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5" t="s">
        <v>115</v>
      </c>
    </row>
    <row r="3" customFormat="false" ht="15" hidden="false" customHeight="false" outlineLevel="0" collapsed="false">
      <c r="A3" s="6" t="s">
        <v>116</v>
      </c>
      <c r="B3" s="7" t="s">
        <v>117</v>
      </c>
    </row>
    <row r="4" customFormat="false" ht="15" hidden="false" customHeight="false" outlineLevel="0" collapsed="false">
      <c r="A4" s="6" t="s">
        <v>118</v>
      </c>
      <c r="B4" s="7" t="s">
        <v>119</v>
      </c>
    </row>
    <row r="5" customFormat="false" ht="15" hidden="false" customHeight="false" outlineLevel="0" collapsed="false">
      <c r="A5" s="6" t="s">
        <v>120</v>
      </c>
      <c r="B5" s="7" t="s">
        <v>121</v>
      </c>
    </row>
    <row r="6" customFormat="false" ht="15" hidden="false" customHeight="false" outlineLevel="0" collapsed="false">
      <c r="A6" s="6"/>
      <c r="B6" s="7"/>
    </row>
    <row r="7" customFormat="false" ht="15" hidden="false" customHeight="false" outlineLevel="0" collapsed="false">
      <c r="A7" s="6" t="s">
        <v>122</v>
      </c>
      <c r="B7" s="7" t="n">
        <f aca="false">COUNTA('Customer Availability'!A2:A25)</f>
        <v>24</v>
      </c>
    </row>
    <row r="8" customFormat="false" ht="15" hidden="false" customHeight="false" outlineLevel="0" collapsed="false">
      <c r="A8" s="6" t="s">
        <v>13</v>
      </c>
      <c r="B8" s="7" t="n">
        <f aca="false">COUNTIF('Customer Availability'!E2:E25,"Happy")</f>
        <v>11</v>
      </c>
    </row>
    <row r="9" customFormat="false" ht="15" hidden="false" customHeight="false" outlineLevel="0" collapsed="false">
      <c r="A9" s="6" t="s">
        <v>24</v>
      </c>
      <c r="B9" s="7" t="n">
        <f aca="false">COUNTIF('Customer Availability'!E2:E25,"Edge")</f>
        <v>13</v>
      </c>
    </row>
    <row r="10" customFormat="false" ht="15" hidden="false" customHeight="false" outlineLevel="0" collapsed="false">
      <c r="A10" s="6"/>
      <c r="B10" s="7"/>
    </row>
    <row r="11" customFormat="false" ht="15" hidden="false" customHeight="false" outlineLevel="0" collapsed="false">
      <c r="A11" s="6" t="s">
        <v>123</v>
      </c>
      <c r="B11" s="7" t="n">
        <f aca="false">COUNTIF('Customer Availability'!I2:I25,"Pass")</f>
        <v>0</v>
      </c>
    </row>
    <row r="12" customFormat="false" ht="15" hidden="false" customHeight="false" outlineLevel="0" collapsed="false">
      <c r="A12" s="6" t="s">
        <v>124</v>
      </c>
      <c r="B12" s="7" t="n">
        <f aca="false">COUNTIF('Customer Availability'!I2:I25,"Fail")</f>
        <v>0</v>
      </c>
    </row>
    <row r="13" customFormat="false" ht="15" hidden="false" customHeight="false" outlineLevel="0" collapsed="false">
      <c r="A13" s="6" t="s">
        <v>17</v>
      </c>
      <c r="B13" s="7" t="n">
        <f aca="false">COUNTIF('Customer Availability'!I2:I25,"Not Run")</f>
        <v>24</v>
      </c>
    </row>
    <row r="14" customFormat="false" ht="15" hidden="false" customHeight="false" outlineLevel="0" collapsed="false">
      <c r="A14" s="6"/>
      <c r="B14" s="7"/>
    </row>
    <row r="15" customFormat="false" ht="15" hidden="false" customHeight="false" outlineLevel="0" collapsed="false">
      <c r="A15" s="6" t="s">
        <v>125</v>
      </c>
      <c r="B15" s="8" t="n">
        <f aca="false">IF(B7-B13=0,0,B11/(B7-B13))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2026-06-25T10:22:35Z</dcterms:created>
  <dc:creator>openpyxl</dc:creator>
  <dc:description/>
  <dc:language>en-US</dc:language>
  <cp:lastModifiedBy/>
  <dcterms:modified xsi:type="dcterms:W3CDTF">2026-06-25T10:22:35Z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