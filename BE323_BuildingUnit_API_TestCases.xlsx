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-323 Cases" sheetId="1" state="visible" r:id="rId3"/>
    <sheet name="Summary" sheetId="2" state="visible" r:id="rId4"/>
  </sheets>
  <definedNames>
    <definedName function="false" hidden="true" localSheetId="0" name="_xlnm._FilterDatabase" vbProcedure="false">'BE-323 Cases'!$A$1:$I$31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<sst xmlns="http://schemas.openxmlformats.org/spreadsheetml/2006/main" count="292" uniqueCount="151">
  <si>
    <t xml:space="preserve">TestCaseID</t>
  </si>
  <si>
    <t xml:space="preserve">Endpoint</t>
  </si>
  <si>
    <t xml:space="preserve">Method</t>
  </si>
  <si>
    <t xml:space="preserve">Description</t>
  </si>
  <si>
    <t xml:space="preserve">Type</t>
  </si>
  <si>
    <t xml:space="preserve">Input</t>
  </si>
  <si>
    <t xml:space="preserve">ExpectedStatus</t>
  </si>
  <si>
    <t xml:space="preserve">ExpectedResult</t>
  </si>
  <si>
    <t xml:space="preserve">Status</t>
  </si>
  <si>
    <t xml:space="preserve">TC001</t>
  </si>
  <si>
    <t xml:space="preserve">/jobs</t>
  </si>
  <si>
    <t xml:space="preserve">GET</t>
  </si>
  <si>
    <t xml:space="preserve">List jobs returns buildingUnit block on every item</t>
  </si>
  <si>
    <t xml:space="preserve">Happy</t>
  </si>
  <si>
    <t xml:space="preserve">Header x-api-version=6.2.0</t>
  </si>
  <si>
    <t xml:space="preserve">200</t>
  </si>
  <si>
    <t xml:space="preserve">Each item has buildingUnit either {id,buildingUnit} or null</t>
  </si>
  <si>
    <t xml:space="preserve">Not Run</t>
  </si>
  <si>
    <t xml:space="preserve">TC002</t>
  </si>
  <si>
    <t xml:space="preserve">buildingUnit = null when job has no unit</t>
  </si>
  <si>
    <t xml:space="preserve">Edge</t>
  </si>
  <si>
    <t xml:space="preserve">Job without unit; x-api-version=6.2.0</t>
  </si>
  <si>
    <t xml:space="preserve">data[].buildingUnit = null</t>
  </si>
  <si>
    <t xml:space="preserve">TC003</t>
  </si>
  <si>
    <t xml:space="preserve">Filter by single buildingUnitId</t>
  </si>
  <si>
    <t xml:space="preserve">?buildingUnitId=unit_123 ; x-api-version=6.2.0</t>
  </si>
  <si>
    <t xml:space="preserve">Returns only jobs where buildingUnit.id = unit_123</t>
  </si>
  <si>
    <t xml:space="preserve">TC004</t>
  </si>
  <si>
    <t xml:space="preserve">Filter by multiple buildingUnitIds (repeatable)</t>
  </si>
  <si>
    <t xml:space="preserve">?buildingUnitId=unit_123&amp;buildingUnitId=unit_456</t>
  </si>
  <si>
    <t xml:space="preserve">Returns jobs matching either unit (OR semantics)</t>
  </si>
  <si>
    <t xml:space="preserve">TC005</t>
  </si>
  <si>
    <t xml:space="preserve">Filter by non-existent unitId</t>
  </si>
  <si>
    <t xml:space="preserve">?buildingUnitId=unit_doesnotexist</t>
  </si>
  <si>
    <t xml:space="preserve">data=[]; meta.total=0</t>
  </si>
  <si>
    <t xml:space="preserve">TC006</t>
  </si>
  <si>
    <t xml:space="preserve">Sort by buildingUnit ascending</t>
  </si>
  <si>
    <t xml:space="preserve">?orderByKey=buildingUnit&amp;orderByValue=asc</t>
  </si>
  <si>
    <t xml:space="preserve">Results sorted by buildingUnit string asc; null/missing units come last</t>
  </si>
  <si>
    <t xml:space="preserve">TC007</t>
  </si>
  <si>
    <t xml:space="preserve">Sort by buildingUnit descending</t>
  </si>
  <si>
    <t xml:space="preserve">?orderByKey=buildingUnit&amp;orderByValue=desc</t>
  </si>
  <si>
    <t xml:space="preserve">Results sorted desc</t>
  </si>
  <si>
    <t xml:space="preserve">TC008</t>
  </si>
  <si>
    <t xml:space="preserve">Below 6.2.0 — buildingUnit field stripped</t>
  </si>
  <si>
    <t xml:space="preserve">x-api-version=6.1.0</t>
  </si>
  <si>
    <t xml:space="preserve">Response items have NO buildingUnit key; request still 200</t>
  </si>
  <si>
    <t xml:space="preserve">TC009</t>
  </si>
  <si>
    <t xml:space="preserve">Below 6.2.0 — filter and sort silently ignored</t>
  </si>
  <si>
    <t xml:space="preserve">x-api-version=6.1.0; ?buildingUnitId=X&amp;orderByKey=buildingUnit</t>
  </si>
  <si>
    <t xml:space="preserve">Behaves as if params absent; default ordering, no unit filter</t>
  </si>
  <si>
    <t xml:space="preserve">TC010</t>
  </si>
  <si>
    <t xml:space="preserve">/user/table-config/JOBS</t>
  </si>
  <si>
    <t xml:space="preserve">Column key present, default off</t>
  </si>
  <si>
    <t xml:space="preserve">x-api-version=6.2.0</t>
  </si>
  <si>
    <t xml:space="preserve">config.BUILDING_UNIT = false on first read</t>
  </si>
  <si>
    <t xml:space="preserve">TC011</t>
  </si>
  <si>
    <t xml:space="preserve">/user/table-config</t>
  </si>
  <si>
    <t xml:space="preserve">PUT</t>
  </si>
  <si>
    <t xml:space="preserve">Enable BUILDING_UNIT column</t>
  </si>
  <si>
    <t xml:space="preserve">Body {type:"JOBS", config:{BUILDING_UNIT:true}}; x-api-version=6.2.0</t>
  </si>
  <si>
    <t xml:space="preserve">Persisted; subsequent GET returns BUILDING_UNIT=true</t>
  </si>
  <si>
    <t xml:space="preserve">TC012</t>
  </si>
  <si>
    <t xml:space="preserve">Disable BUILDING_UNIT column</t>
  </si>
  <si>
    <t xml:space="preserve">Body {type:"JOBS", config:{BUILDING_UNIT:false}}</t>
  </si>
  <si>
    <t xml:space="preserve">Persisted; subsequent GET returns BUILDING_UNIT=false</t>
  </si>
  <si>
    <t xml:space="preserve">TC013</t>
  </si>
  <si>
    <t xml:space="preserve">Below 6.2.0 — key absent</t>
  </si>
  <si>
    <t xml:space="preserve">config object has NO BUILDING_UNIT key</t>
  </si>
  <si>
    <t xml:space="preserve">TC014</t>
  </si>
  <si>
    <t xml:space="preserve">/customer/{id}</t>
  </si>
  <si>
    <t xml:space="preserve">PATCH</t>
  </si>
  <si>
    <t xml:space="preserve">Add buildingUnit to a customer address</t>
  </si>
  <si>
    <t xml:space="preserve">Body {siteAddressId, buildingUnit:"Unit 4B"}; x-api-version=6.2.0</t>
  </si>
  <si>
    <t xml:space="preserve">Unit added to that address row; subsequent /jobs surface it</t>
  </si>
  <si>
    <t xml:space="preserve">TC015</t>
  </si>
  <si>
    <t xml:space="preserve">Normal customer update (no unit fields)</t>
  </si>
  <si>
    <t xml:space="preserve">Body without siteAddressId/buildingUnit</t>
  </si>
  <si>
    <t xml:space="preserve">Standard customer update succeeds; no unit changes</t>
  </si>
  <si>
    <t xml:space="preserve">TC016</t>
  </si>
  <si>
    <t xml:space="preserve">Adding existing unit = safe no-op (dedupe)</t>
  </si>
  <si>
    <t xml:space="preserve">Address already has "Unit 4B"; resend same buildingUnit</t>
  </si>
  <si>
    <t xml:space="preserve">Response success; address still has single Unit 4B (no duplicate)</t>
  </si>
  <si>
    <t xml:space="preserve">TC017</t>
  </si>
  <si>
    <t xml:space="preserve">buildingUnit sent without siteAddressId</t>
  </si>
  <si>
    <t xml:space="preserve">Negative</t>
  </si>
  <si>
    <t xml:space="preserve">Body {buildingUnit:"Unit 4B"} (no siteAddressId)</t>
  </si>
  <si>
    <t xml:space="preserve">400</t>
  </si>
  <si>
    <t xml:space="preserve">Validation error: siteAddressId required when buildingUnit is sent</t>
  </si>
  <si>
    <t xml:space="preserve">TC018</t>
  </si>
  <si>
    <t xml:space="preserve">Invalid customer id</t>
  </si>
  <si>
    <t xml:space="preserve">Customer id = non-existent UUID</t>
  </si>
  <si>
    <t xml:space="preserve">404</t>
  </si>
  <si>
    <t xml:space="preserve">Customer not found</t>
  </si>
  <si>
    <t xml:space="preserve">TC019</t>
  </si>
  <si>
    <t xml:space="preserve">siteAddressId not owned by this customer</t>
  </si>
  <si>
    <t xml:space="preserve">siteAddressId belongs to a different customer</t>
  </si>
  <si>
    <t xml:space="preserve">Validation/authorization error</t>
  </si>
  <si>
    <t xml:space="preserve">TC020</t>
  </si>
  <si>
    <t xml:space="preserve">Below 6.2.0 — fields silently ignored</t>
  </si>
  <si>
    <t xml:space="preserve">x-api-version=6.1.0; Body {siteAddressId, buildingUnit:"Unit 4B"}</t>
  </si>
  <si>
    <t xml:space="preserve">Customer untouched on those fields; unit NOT added</t>
  </si>
  <si>
    <t xml:space="preserve">TC021</t>
  </si>
  <si>
    <t xml:space="preserve">/customer/building-unit</t>
  </si>
  <si>
    <t xml:space="preserve">Default list (page=1, limit=10)</t>
  </si>
  <si>
    <t xml:space="preserve">data.items length &lt;=10; meta has total, page, limit, totalPages</t>
  </si>
  <si>
    <t xml:space="preserve">TC022</t>
  </si>
  <si>
    <t xml:space="preserve">Typeahead search (contains match)</t>
  </si>
  <si>
    <t xml:space="preserve">?search=Unit</t>
  </si>
  <si>
    <t xml:space="preserve">Items where buildingUnit contains 'Unit' (case-insensitive); meta reflects filtered total</t>
  </si>
  <si>
    <t xml:space="preserve">TC023</t>
  </si>
  <si>
    <t xml:space="preserve">Pagination — page 2</t>
  </si>
  <si>
    <t xml:space="preserve">?page=2&amp;limit=10</t>
  </si>
  <si>
    <t xml:space="preserve">Returns items 11-20; meta.page=2</t>
  </si>
  <si>
    <t xml:space="preserve">TC024</t>
  </si>
  <si>
    <t xml:space="preserve">Custom limit</t>
  </si>
  <si>
    <t xml:space="preserve">?limit=50</t>
  </si>
  <si>
    <t xml:space="preserve">items.length up to 50; meta.limit=50</t>
  </si>
  <si>
    <t xml:space="preserve">TC025</t>
  </si>
  <si>
    <t xml:space="preserve">Search with no match</t>
  </si>
  <si>
    <t xml:space="preserve">?search=ZZZNoMatch</t>
  </si>
  <si>
    <t xml:space="preserve">data.items = []; meta.total = 0</t>
  </si>
  <si>
    <t xml:space="preserve">TC026</t>
  </si>
  <si>
    <t xml:space="preserve">Page beyond total</t>
  </si>
  <si>
    <t xml:space="preserve">?page=9999</t>
  </si>
  <si>
    <t xml:space="preserve">data.items = []; meta.page=9999, totalPages stable</t>
  </si>
  <si>
    <t xml:space="preserve">TC027</t>
  </si>
  <si>
    <t xml:space="preserve">Below 6.2.0 — HARD FAIL</t>
  </si>
  <si>
    <t xml:space="preserve">400 Bad Request (minimum-version guard); response NOT silent no-op</t>
  </si>
  <si>
    <t xml:space="preserve">TC028</t>
  </si>
  <si>
    <t xml:space="preserve">Missing x-api-version header</t>
  </si>
  <si>
    <t xml:space="preserve">No x-api-version sent</t>
  </si>
  <si>
    <t xml:space="preserve">Treated as &lt;6.2.0 → 400</t>
  </si>
  <si>
    <t xml:space="preserve">TC029</t>
  </si>
  <si>
    <t xml:space="preserve">Missing auth token</t>
  </si>
  <si>
    <t xml:space="preserve">Authorization header omitted</t>
  </si>
  <si>
    <t xml:space="preserve">401</t>
  </si>
  <si>
    <t xml:space="preserve">Unauthorized</t>
  </si>
  <si>
    <t xml:space="preserve">TC030</t>
  </si>
  <si>
    <t xml:space="preserve">ID from /customer/building-unit usable as filter</t>
  </si>
  <si>
    <t xml:space="preserve">Pick item.id from §4 → pass as buildingUnitId in §1</t>
  </si>
  <si>
    <t xml:space="preserve">Filter matches; round-trip works end-to-end</t>
  </si>
  <si>
    <t xml:space="preserve">BE-323 Building/Unit Numbers — Test Plan</t>
  </si>
  <si>
    <t xml:space="preserve">API version gate</t>
  </si>
  <si>
    <t xml:space="preserve">All four endpoints require x-api-version: 6.2.0</t>
  </si>
  <si>
    <t xml:space="preserve">Endpoints</t>
  </si>
  <si>
    <t xml:space="preserve">GET /jobs · GET-PUT /user/table-config · PATCH /customer/{id} · GET /customer/building-unit</t>
  </si>
  <si>
    <t xml:space="preserve">Total cases</t>
  </si>
  <si>
    <t xml:space="preserve">Passed</t>
  </si>
  <si>
    <t xml:space="preserve">Failed</t>
  </si>
  <si>
    <t xml:space="preserve">Pass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</si>
</sst>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15"/>
    <col collapsed="false" customWidth="true" hidden="false" outlineLevel="0" max="8" min="8" style="0" width="56"/>
    <col collapsed="false" customWidth="true" hidden="false" outlineLevel="0" max="9" min="9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0" t="s">
        <v>17</v>
      </c>
    </row>
    <row r="3" customFormat="false" ht="15" hidden="false" customHeight="false" outlineLevel="0" collapsed="false">
      <c r="A3" s="2" t="s">
        <v>18</v>
      </c>
      <c r="B3" s="2" t="s">
        <v>10</v>
      </c>
      <c r="C3" s="2" t="s">
        <v>11</v>
      </c>
      <c r="D3" s="2" t="s">
        <v>19</v>
      </c>
      <c r="E3" s="4" t="s">
        <v>20</v>
      </c>
      <c r="F3" s="2" t="s">
        <v>21</v>
      </c>
      <c r="G3" s="2" t="s">
        <v>15</v>
      </c>
      <c r="H3" s="2" t="s">
        <v>22</v>
      </c>
      <c r="I3" s="0" t="s">
        <v>17</v>
      </c>
    </row>
    <row r="4" customFormat="false" ht="15" hidden="false" customHeight="false" outlineLevel="0" collapsed="false">
      <c r="A4" s="2" t="s">
        <v>23</v>
      </c>
      <c r="B4" s="2" t="s">
        <v>10</v>
      </c>
      <c r="C4" s="2" t="s">
        <v>11</v>
      </c>
      <c r="D4" s="2" t="s">
        <v>24</v>
      </c>
      <c r="E4" s="3" t="s">
        <v>13</v>
      </c>
      <c r="F4" s="2" t="s">
        <v>25</v>
      </c>
      <c r="G4" s="2" t="s">
        <v>15</v>
      </c>
      <c r="H4" s="2" t="s">
        <v>26</v>
      </c>
      <c r="I4" s="0" t="s">
        <v>17</v>
      </c>
    </row>
    <row r="5" customFormat="false" ht="15" hidden="false" customHeight="false" outlineLevel="0" collapsed="false">
      <c r="A5" s="2" t="s">
        <v>27</v>
      </c>
      <c r="B5" s="2" t="s">
        <v>10</v>
      </c>
      <c r="C5" s="2" t="s">
        <v>11</v>
      </c>
      <c r="D5" s="2" t="s">
        <v>28</v>
      </c>
      <c r="E5" s="3" t="s">
        <v>13</v>
      </c>
      <c r="F5" s="2" t="s">
        <v>29</v>
      </c>
      <c r="G5" s="2" t="s">
        <v>15</v>
      </c>
      <c r="H5" s="2" t="s">
        <v>30</v>
      </c>
      <c r="I5" s="0" t="s">
        <v>17</v>
      </c>
    </row>
    <row r="6" customFormat="false" ht="15" hidden="false" customHeight="false" outlineLevel="0" collapsed="false">
      <c r="A6" s="2" t="s">
        <v>31</v>
      </c>
      <c r="B6" s="2" t="s">
        <v>10</v>
      </c>
      <c r="C6" s="2" t="s">
        <v>11</v>
      </c>
      <c r="D6" s="2" t="s">
        <v>32</v>
      </c>
      <c r="E6" s="4" t="s">
        <v>20</v>
      </c>
      <c r="F6" s="2" t="s">
        <v>33</v>
      </c>
      <c r="G6" s="2" t="s">
        <v>15</v>
      </c>
      <c r="H6" s="2" t="s">
        <v>34</v>
      </c>
      <c r="I6" s="0" t="s">
        <v>17</v>
      </c>
    </row>
    <row r="7" customFormat="false" ht="15" hidden="false" customHeight="false" outlineLevel="0" collapsed="false">
      <c r="A7" s="2" t="s">
        <v>35</v>
      </c>
      <c r="B7" s="2" t="s">
        <v>10</v>
      </c>
      <c r="C7" s="2" t="s">
        <v>11</v>
      </c>
      <c r="D7" s="2" t="s">
        <v>36</v>
      </c>
      <c r="E7" s="3" t="s">
        <v>13</v>
      </c>
      <c r="F7" s="2" t="s">
        <v>37</v>
      </c>
      <c r="G7" s="2" t="s">
        <v>15</v>
      </c>
      <c r="H7" s="2" t="s">
        <v>38</v>
      </c>
      <c r="I7" s="0" t="s">
        <v>17</v>
      </c>
    </row>
    <row r="8" customFormat="false" ht="15" hidden="false" customHeight="false" outlineLevel="0" collapsed="false">
      <c r="A8" s="2" t="s">
        <v>39</v>
      </c>
      <c r="B8" s="2" t="s">
        <v>10</v>
      </c>
      <c r="C8" s="2" t="s">
        <v>11</v>
      </c>
      <c r="D8" s="2" t="s">
        <v>40</v>
      </c>
      <c r="E8" s="3" t="s">
        <v>13</v>
      </c>
      <c r="F8" s="2" t="s">
        <v>41</v>
      </c>
      <c r="G8" s="2" t="s">
        <v>15</v>
      </c>
      <c r="H8" s="2" t="s">
        <v>42</v>
      </c>
      <c r="I8" s="0" t="s">
        <v>17</v>
      </c>
    </row>
    <row r="9" customFormat="false" ht="15" hidden="false" customHeight="false" outlineLevel="0" collapsed="false">
      <c r="A9" s="2" t="s">
        <v>43</v>
      </c>
      <c r="B9" s="2" t="s">
        <v>10</v>
      </c>
      <c r="C9" s="2" t="s">
        <v>11</v>
      </c>
      <c r="D9" s="2" t="s">
        <v>44</v>
      </c>
      <c r="E9" s="4" t="s">
        <v>20</v>
      </c>
      <c r="F9" s="2" t="s">
        <v>45</v>
      </c>
      <c r="G9" s="2" t="s">
        <v>15</v>
      </c>
      <c r="H9" s="2" t="s">
        <v>46</v>
      </c>
      <c r="I9" s="0" t="s">
        <v>17</v>
      </c>
    </row>
    <row r="10" customFormat="false" ht="23.85" hidden="false" customHeight="false" outlineLevel="0" collapsed="false">
      <c r="A10" s="2" t="s">
        <v>47</v>
      </c>
      <c r="B10" s="2" t="s">
        <v>10</v>
      </c>
      <c r="C10" s="2" t="s">
        <v>11</v>
      </c>
      <c r="D10" s="2" t="s">
        <v>48</v>
      </c>
      <c r="E10" s="4" t="s">
        <v>20</v>
      </c>
      <c r="F10" s="2" t="s">
        <v>49</v>
      </c>
      <c r="G10" s="2" t="s">
        <v>15</v>
      </c>
      <c r="H10" s="2" t="s">
        <v>50</v>
      </c>
      <c r="I10" s="0" t="s">
        <v>17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11</v>
      </c>
      <c r="D11" s="2" t="s">
        <v>53</v>
      </c>
      <c r="E11" s="3" t="s">
        <v>13</v>
      </c>
      <c r="F11" s="2" t="s">
        <v>54</v>
      </c>
      <c r="G11" s="2" t="s">
        <v>15</v>
      </c>
      <c r="H11" s="2" t="s">
        <v>55</v>
      </c>
      <c r="I11" s="0" t="s">
        <v>17</v>
      </c>
    </row>
    <row r="12" customFormat="false" ht="23.85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  <c r="E12" s="3" t="s">
        <v>13</v>
      </c>
      <c r="F12" s="2" t="s">
        <v>60</v>
      </c>
      <c r="G12" s="2" t="s">
        <v>15</v>
      </c>
      <c r="H12" s="2" t="s">
        <v>61</v>
      </c>
      <c r="I12" s="0" t="s">
        <v>17</v>
      </c>
    </row>
    <row r="13" customFormat="false" ht="15" hidden="false" customHeight="false" outlineLevel="0" collapsed="false">
      <c r="A13" s="2" t="s">
        <v>62</v>
      </c>
      <c r="B13" s="2" t="s">
        <v>57</v>
      </c>
      <c r="C13" s="2" t="s">
        <v>58</v>
      </c>
      <c r="D13" s="2" t="s">
        <v>63</v>
      </c>
      <c r="E13" s="3" t="s">
        <v>13</v>
      </c>
      <c r="F13" s="2" t="s">
        <v>64</v>
      </c>
      <c r="G13" s="2" t="s">
        <v>15</v>
      </c>
      <c r="H13" s="2" t="s">
        <v>65</v>
      </c>
      <c r="I13" s="0" t="s">
        <v>17</v>
      </c>
    </row>
    <row r="14" customFormat="false" ht="15" hidden="false" customHeight="false" outlineLevel="0" collapsed="false">
      <c r="A14" s="2" t="s">
        <v>66</v>
      </c>
      <c r="B14" s="2" t="s">
        <v>52</v>
      </c>
      <c r="C14" s="2" t="s">
        <v>11</v>
      </c>
      <c r="D14" s="2" t="s">
        <v>67</v>
      </c>
      <c r="E14" s="4" t="s">
        <v>20</v>
      </c>
      <c r="F14" s="2" t="s">
        <v>45</v>
      </c>
      <c r="G14" s="2" t="s">
        <v>15</v>
      </c>
      <c r="H14" s="2" t="s">
        <v>68</v>
      </c>
      <c r="I14" s="0" t="s">
        <v>17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3" t="s">
        <v>13</v>
      </c>
      <c r="F15" s="2" t="s">
        <v>73</v>
      </c>
      <c r="G15" s="2" t="s">
        <v>15</v>
      </c>
      <c r="H15" s="2" t="s">
        <v>74</v>
      </c>
      <c r="I15" s="0" t="s">
        <v>17</v>
      </c>
    </row>
    <row r="16" customFormat="false" ht="15" hidden="false" customHeight="false" outlineLevel="0" collapsed="false">
      <c r="A16" s="2" t="s">
        <v>75</v>
      </c>
      <c r="B16" s="2" t="s">
        <v>70</v>
      </c>
      <c r="C16" s="2" t="s">
        <v>71</v>
      </c>
      <c r="D16" s="2" t="s">
        <v>76</v>
      </c>
      <c r="E16" s="3" t="s">
        <v>13</v>
      </c>
      <c r="F16" s="2" t="s">
        <v>77</v>
      </c>
      <c r="G16" s="2" t="s">
        <v>15</v>
      </c>
      <c r="H16" s="2" t="s">
        <v>78</v>
      </c>
      <c r="I16" s="0" t="s">
        <v>17</v>
      </c>
    </row>
    <row r="17" customFormat="false" ht="15" hidden="false" customHeight="false" outlineLevel="0" collapsed="false">
      <c r="A17" s="2" t="s">
        <v>79</v>
      </c>
      <c r="B17" s="2" t="s">
        <v>70</v>
      </c>
      <c r="C17" s="2" t="s">
        <v>71</v>
      </c>
      <c r="D17" s="2" t="s">
        <v>80</v>
      </c>
      <c r="E17" s="4" t="s">
        <v>20</v>
      </c>
      <c r="F17" s="2" t="s">
        <v>81</v>
      </c>
      <c r="G17" s="2" t="s">
        <v>15</v>
      </c>
      <c r="H17" s="2" t="s">
        <v>82</v>
      </c>
      <c r="I17" s="0" t="s">
        <v>17</v>
      </c>
    </row>
    <row r="18" customFormat="false" ht="15" hidden="false" customHeight="false" outlineLevel="0" collapsed="false">
      <c r="A18" s="2" t="s">
        <v>83</v>
      </c>
      <c r="B18" s="2" t="s">
        <v>70</v>
      </c>
      <c r="C18" s="2" t="s">
        <v>71</v>
      </c>
      <c r="D18" s="2" t="s">
        <v>84</v>
      </c>
      <c r="E18" s="5" t="s">
        <v>85</v>
      </c>
      <c r="F18" s="2" t="s">
        <v>86</v>
      </c>
      <c r="G18" s="2" t="s">
        <v>87</v>
      </c>
      <c r="H18" s="2" t="s">
        <v>88</v>
      </c>
      <c r="I18" s="0" t="s">
        <v>17</v>
      </c>
    </row>
    <row r="19" customFormat="false" ht="15" hidden="false" customHeight="false" outlineLevel="0" collapsed="false">
      <c r="A19" s="2" t="s">
        <v>89</v>
      </c>
      <c r="B19" s="2" t="s">
        <v>70</v>
      </c>
      <c r="C19" s="2" t="s">
        <v>71</v>
      </c>
      <c r="D19" s="2" t="s">
        <v>90</v>
      </c>
      <c r="E19" s="5" t="s">
        <v>85</v>
      </c>
      <c r="F19" s="2" t="s">
        <v>91</v>
      </c>
      <c r="G19" s="2" t="s">
        <v>92</v>
      </c>
      <c r="H19" s="2" t="s">
        <v>93</v>
      </c>
      <c r="I19" s="0" t="s">
        <v>17</v>
      </c>
    </row>
    <row r="20" customFormat="false" ht="15" hidden="false" customHeight="false" outlineLevel="0" collapsed="false">
      <c r="A20" s="2" t="s">
        <v>94</v>
      </c>
      <c r="B20" s="2" t="s">
        <v>70</v>
      </c>
      <c r="C20" s="2" t="s">
        <v>71</v>
      </c>
      <c r="D20" s="2" t="s">
        <v>95</v>
      </c>
      <c r="E20" s="5" t="s">
        <v>85</v>
      </c>
      <c r="F20" s="2" t="s">
        <v>96</v>
      </c>
      <c r="G20" s="2" t="s">
        <v>87</v>
      </c>
      <c r="H20" s="2" t="s">
        <v>97</v>
      </c>
      <c r="I20" s="0" t="s">
        <v>17</v>
      </c>
    </row>
    <row r="21" customFormat="false" ht="15" hidden="false" customHeight="false" outlineLevel="0" collapsed="false">
      <c r="A21" s="2" t="s">
        <v>98</v>
      </c>
      <c r="B21" s="2" t="s">
        <v>70</v>
      </c>
      <c r="C21" s="2" t="s">
        <v>71</v>
      </c>
      <c r="D21" s="2" t="s">
        <v>99</v>
      </c>
      <c r="E21" s="4" t="s">
        <v>20</v>
      </c>
      <c r="F21" s="2" t="s">
        <v>100</v>
      </c>
      <c r="G21" s="2" t="s">
        <v>15</v>
      </c>
      <c r="H21" s="2" t="s">
        <v>101</v>
      </c>
      <c r="I21" s="0" t="s">
        <v>17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11</v>
      </c>
      <c r="D22" s="2" t="s">
        <v>104</v>
      </c>
      <c r="E22" s="3" t="s">
        <v>13</v>
      </c>
      <c r="F22" s="2" t="s">
        <v>54</v>
      </c>
      <c r="G22" s="2" t="s">
        <v>15</v>
      </c>
      <c r="H22" s="2" t="s">
        <v>105</v>
      </c>
      <c r="I22" s="0" t="s">
        <v>17</v>
      </c>
    </row>
    <row r="23" customFormat="false" ht="23.85" hidden="false" customHeight="false" outlineLevel="0" collapsed="false">
      <c r="A23" s="2" t="s">
        <v>106</v>
      </c>
      <c r="B23" s="2" t="s">
        <v>103</v>
      </c>
      <c r="C23" s="2" t="s">
        <v>11</v>
      </c>
      <c r="D23" s="2" t="s">
        <v>107</v>
      </c>
      <c r="E23" s="3" t="s">
        <v>13</v>
      </c>
      <c r="F23" s="2" t="s">
        <v>108</v>
      </c>
      <c r="G23" s="2" t="s">
        <v>15</v>
      </c>
      <c r="H23" s="2" t="s">
        <v>109</v>
      </c>
      <c r="I23" s="0" t="s">
        <v>17</v>
      </c>
    </row>
    <row r="24" customFormat="false" ht="15" hidden="false" customHeight="false" outlineLevel="0" collapsed="false">
      <c r="A24" s="2" t="s">
        <v>110</v>
      </c>
      <c r="B24" s="2" t="s">
        <v>103</v>
      </c>
      <c r="C24" s="2" t="s">
        <v>11</v>
      </c>
      <c r="D24" s="2" t="s">
        <v>111</v>
      </c>
      <c r="E24" s="3" t="s">
        <v>13</v>
      </c>
      <c r="F24" s="2" t="s">
        <v>112</v>
      </c>
      <c r="G24" s="2" t="s">
        <v>15</v>
      </c>
      <c r="H24" s="2" t="s">
        <v>113</v>
      </c>
      <c r="I24" s="0" t="s">
        <v>17</v>
      </c>
    </row>
    <row r="25" customFormat="false" ht="15" hidden="false" customHeight="false" outlineLevel="0" collapsed="false">
      <c r="A25" s="2" t="s">
        <v>114</v>
      </c>
      <c r="B25" s="2" t="s">
        <v>103</v>
      </c>
      <c r="C25" s="2" t="s">
        <v>11</v>
      </c>
      <c r="D25" s="2" t="s">
        <v>115</v>
      </c>
      <c r="E25" s="3" t="s">
        <v>13</v>
      </c>
      <c r="F25" s="2" t="s">
        <v>116</v>
      </c>
      <c r="G25" s="2" t="s">
        <v>15</v>
      </c>
      <c r="H25" s="2" t="s">
        <v>117</v>
      </c>
      <c r="I25" s="0" t="s">
        <v>17</v>
      </c>
    </row>
    <row r="26" customFormat="false" ht="15" hidden="false" customHeight="false" outlineLevel="0" collapsed="false">
      <c r="A26" s="2" t="s">
        <v>118</v>
      </c>
      <c r="B26" s="2" t="s">
        <v>103</v>
      </c>
      <c r="C26" s="2" t="s">
        <v>11</v>
      </c>
      <c r="D26" s="2" t="s">
        <v>119</v>
      </c>
      <c r="E26" s="4" t="s">
        <v>20</v>
      </c>
      <c r="F26" s="2" t="s">
        <v>120</v>
      </c>
      <c r="G26" s="2" t="s">
        <v>15</v>
      </c>
      <c r="H26" s="2" t="s">
        <v>121</v>
      </c>
      <c r="I26" s="0" t="s">
        <v>17</v>
      </c>
    </row>
    <row r="27" customFormat="false" ht="15" hidden="false" customHeight="false" outlineLevel="0" collapsed="false">
      <c r="A27" s="2" t="s">
        <v>122</v>
      </c>
      <c r="B27" s="2" t="s">
        <v>103</v>
      </c>
      <c r="C27" s="2" t="s">
        <v>11</v>
      </c>
      <c r="D27" s="2" t="s">
        <v>123</v>
      </c>
      <c r="E27" s="4" t="s">
        <v>20</v>
      </c>
      <c r="F27" s="2" t="s">
        <v>124</v>
      </c>
      <c r="G27" s="2" t="s">
        <v>15</v>
      </c>
      <c r="H27" s="2" t="s">
        <v>125</v>
      </c>
      <c r="I27" s="0" t="s">
        <v>17</v>
      </c>
    </row>
    <row r="28" customFormat="false" ht="23.85" hidden="false" customHeight="false" outlineLevel="0" collapsed="false">
      <c r="A28" s="2" t="s">
        <v>126</v>
      </c>
      <c r="B28" s="2" t="s">
        <v>103</v>
      </c>
      <c r="C28" s="2" t="s">
        <v>11</v>
      </c>
      <c r="D28" s="2" t="s">
        <v>127</v>
      </c>
      <c r="E28" s="5" t="s">
        <v>85</v>
      </c>
      <c r="F28" s="2" t="s">
        <v>45</v>
      </c>
      <c r="G28" s="2" t="s">
        <v>87</v>
      </c>
      <c r="H28" s="2" t="s">
        <v>128</v>
      </c>
      <c r="I28" s="0" t="s">
        <v>17</v>
      </c>
    </row>
    <row r="29" customFormat="false" ht="15" hidden="false" customHeight="false" outlineLevel="0" collapsed="false">
      <c r="A29" s="2" t="s">
        <v>129</v>
      </c>
      <c r="B29" s="2" t="s">
        <v>103</v>
      </c>
      <c r="C29" s="2" t="s">
        <v>11</v>
      </c>
      <c r="D29" s="2" t="s">
        <v>130</v>
      </c>
      <c r="E29" s="5" t="s">
        <v>85</v>
      </c>
      <c r="F29" s="2" t="s">
        <v>131</v>
      </c>
      <c r="G29" s="2" t="s">
        <v>87</v>
      </c>
      <c r="H29" s="2" t="s">
        <v>132</v>
      </c>
      <c r="I29" s="0" t="s">
        <v>17</v>
      </c>
    </row>
    <row r="30" customFormat="false" ht="15" hidden="false" customHeight="false" outlineLevel="0" collapsed="false">
      <c r="A30" s="2" t="s">
        <v>133</v>
      </c>
      <c r="B30" s="2" t="s">
        <v>103</v>
      </c>
      <c r="C30" s="2" t="s">
        <v>11</v>
      </c>
      <c r="D30" s="2" t="s">
        <v>134</v>
      </c>
      <c r="E30" s="5" t="s">
        <v>85</v>
      </c>
      <c r="F30" s="2" t="s">
        <v>135</v>
      </c>
      <c r="G30" s="2" t="s">
        <v>136</v>
      </c>
      <c r="H30" s="2" t="s">
        <v>137</v>
      </c>
      <c r="I30" s="0" t="s">
        <v>17</v>
      </c>
    </row>
    <row r="31" customFormat="false" ht="15" hidden="false" customHeight="false" outlineLevel="0" collapsed="false">
      <c r="A31" s="2" t="s">
        <v>138</v>
      </c>
      <c r="B31" s="2" t="s">
        <v>10</v>
      </c>
      <c r="C31" s="2" t="s">
        <v>11</v>
      </c>
      <c r="D31" s="2" t="s">
        <v>139</v>
      </c>
      <c r="E31" s="3" t="s">
        <v>13</v>
      </c>
      <c r="F31" s="2" t="s">
        <v>140</v>
      </c>
      <c r="G31" s="2" t="s">
        <v>15</v>
      </c>
      <c r="H31" s="2" t="s">
        <v>141</v>
      </c>
      <c r="I31" s="0" t="s">
        <v>17</v>
      </c>
    </row>
  </sheetData>
  <autoFilter ref="A1:I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6" t="s">
        <v>142</v>
      </c>
    </row>
    <row r="3" customFormat="false" ht="15" hidden="false" customHeight="false" outlineLevel="0" collapsed="false">
      <c r="A3" s="7" t="s">
        <v>143</v>
      </c>
      <c r="B3" s="8" t="s">
        <v>144</v>
      </c>
    </row>
    <row r="4" customFormat="false" ht="26.85" hidden="false" customHeight="false" outlineLevel="0" collapsed="false">
      <c r="A4" s="7" t="s">
        <v>145</v>
      </c>
      <c r="B4" s="8" t="s">
        <v>146</v>
      </c>
    </row>
    <row r="5" customFormat="false" ht="15" hidden="false" customHeight="false" outlineLevel="0" collapsed="false">
      <c r="A5" s="7"/>
      <c r="B5" s="8"/>
    </row>
    <row r="6" customFormat="false" ht="15" hidden="false" customHeight="false" outlineLevel="0" collapsed="false">
      <c r="A6" s="7" t="s">
        <v>147</v>
      </c>
      <c r="B6" s="8" t="n">
        <f aca="false">COUNTA('BE-323 Cases'!A2:A31)</f>
        <v>30</v>
      </c>
    </row>
    <row r="7" customFormat="false" ht="15" hidden="false" customHeight="false" outlineLevel="0" collapsed="false">
      <c r="A7" s="7" t="s">
        <v>13</v>
      </c>
      <c r="B7" s="8" t="n">
        <f aca="false">COUNTIF('BE-323 Cases'!E2:E31,"Happy")</f>
        <v>15</v>
      </c>
    </row>
    <row r="8" customFormat="false" ht="15" hidden="false" customHeight="false" outlineLevel="0" collapsed="false">
      <c r="A8" s="7" t="s">
        <v>20</v>
      </c>
      <c r="B8" s="8" t="n">
        <f aca="false">COUNTIF('BE-323 Cases'!E2:E31,"Edge")</f>
        <v>9</v>
      </c>
    </row>
    <row r="9" customFormat="false" ht="15" hidden="false" customHeight="false" outlineLevel="0" collapsed="false">
      <c r="A9" s="7" t="s">
        <v>85</v>
      </c>
      <c r="B9" s="8" t="n">
        <f aca="false">COUNTIF('BE-323 Cases'!E2:E31,"Negative")</f>
        <v>6</v>
      </c>
    </row>
    <row r="10" customFormat="false" ht="15" hidden="false" customHeight="false" outlineLevel="0" collapsed="false">
      <c r="A10" s="7"/>
      <c r="B10" s="8"/>
    </row>
    <row r="11" customFormat="false" ht="15" hidden="false" customHeight="false" outlineLevel="0" collapsed="false">
      <c r="A11" s="7" t="s">
        <v>148</v>
      </c>
      <c r="B11" s="8" t="n">
        <f aca="false">COUNTIF('BE-323 Cases'!I2:I31,"Pass")</f>
        <v>0</v>
      </c>
    </row>
    <row r="12" customFormat="false" ht="15" hidden="false" customHeight="false" outlineLevel="0" collapsed="false">
      <c r="A12" s="7" t="s">
        <v>149</v>
      </c>
      <c r="B12" s="8" t="n">
        <f aca="false">COUNTIF('BE-323 Cases'!I2:I31,"Fail")</f>
        <v>0</v>
      </c>
    </row>
    <row r="13" customFormat="false" ht="15" hidden="false" customHeight="false" outlineLevel="0" collapsed="false">
      <c r="A13" s="7" t="s">
        <v>17</v>
      </c>
      <c r="B13" s="8" t="n">
        <f aca="false">COUNTIF('BE-323 Cases'!I2:I31,"Not Run")</f>
        <v>30</v>
      </c>
    </row>
    <row r="14" customFormat="false" ht="15" hidden="false" customHeight="false" outlineLevel="0" collapsed="false">
      <c r="A14" s="7"/>
      <c r="B14" s="8"/>
    </row>
    <row r="15" customFormat="false" ht="15" hidden="false" customHeight="false" outlineLevel="0" collapsed="false">
      <c r="A15" s="7" t="s">
        <v>150</v>
      </c>
      <c r="B15" s="9" t="n">
        <f aca="false">IF(B6-B13=0,0,B11/(B6-B13))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2026-06-12T06:47:22Z</dcterms:created>
  <dc:creator>openpyxl</dc:creator>
  <dc:description/>
  <dc:language>en-US</dc:language>
  <cp:lastModifiedBy/>
  <dcterms:modified xsi:type="dcterms:W3CDTF">2026-06-12T06:47:22Z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