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Detail Cases" sheetId="1" state="visible" r:id="rId3"/>
    <sheet name="Summary" sheetId="2" state="visible" r:id="rId4"/>
  </sheets>
  <definedNames>
    <definedName function="false" hidden="true" localSheetId="0" name="_xlnm._FilterDatabase" vbProcedure="false">'Job Detail Cases'!$A$1:$I$95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<sst xmlns="http://schemas.openxmlformats.org/spreadsheetml/2006/main" count="863" uniqueCount="392">
  <si>
    <t xml:space="preserve">TestCaseID</t>
  </si>
  <si>
    <t xml:space="preserve">Endpoint</t>
  </si>
  <si>
    <t xml:space="preserve">Method</t>
  </si>
  <si>
    <t xml:space="preserve">Description</t>
  </si>
  <si>
    <t xml:space="preserve">Type</t>
  </si>
  <si>
    <t xml:space="preserve">Input</t>
  </si>
  <si>
    <t xml:space="preserve">ExpectedStatus</t>
  </si>
  <si>
    <t xml:space="preserve">ExpectedResult</t>
  </si>
  <si>
    <t xml:space="preserve">Status</t>
  </si>
  <si>
    <t xml:space="preserve">TC001</t>
  </si>
  <si>
    <t xml:space="preserve">/jobs/{id}</t>
  </si>
  <si>
    <t xml:space="preserve">GET</t>
  </si>
  <si>
    <t xml:space="preserve">Fetch valid jobId returns 200 with full envelope</t>
  </si>
  <si>
    <t xml:space="preserve">Happy</t>
  </si>
  <si>
    <t xml:space="preserve">jobId of existing OPEN job</t>
  </si>
  <si>
    <t xml:space="preserve">200</t>
  </si>
  <si>
    <t xml:space="preserve">Returns success=true, data{...}, message='Operation successful', timestamp, statusCode=200</t>
  </si>
  <si>
    <t xml:space="preserve">Not Run</t>
  </si>
  <si>
    <t xml:space="preserve">TC002</t>
  </si>
  <si>
    <t xml:space="preserve">Top-level identifiers present</t>
  </si>
  <si>
    <t xml:space="preserve">Valid jobId</t>
  </si>
  <si>
    <t xml:space="preserve">data.id, jobNumber, name, workOrderNumber, status, createdAt all non-empty</t>
  </si>
  <si>
    <t xml:space="preserve">TC003</t>
  </si>
  <si>
    <t xml:space="preserve">jobNumber format matches JOB-YYYY-NNN</t>
  </si>
  <si>
    <t xml:space="preserve">jobNumber regex /^JOB-\d{4}-\d{3,}$/ holds</t>
  </si>
  <si>
    <t xml:space="preserve">TC004</t>
  </si>
  <si>
    <t xml:space="preserve">createdAt is valid ISO-8601 UTC</t>
  </si>
  <si>
    <t xml:space="preserve">createdAt parses to Date; ends with Z</t>
  </si>
  <si>
    <t xml:space="preserve">TC005</t>
  </si>
  <si>
    <t xml:space="preserve">status returned in uppercase enum</t>
  </si>
  <si>
    <t xml:space="preserve">Job with status=OPEN</t>
  </si>
  <si>
    <t xml:space="preserve">status='OPEN' (enum: OPEN/CLOSED/IN_PROGRESS/CANCELLED)</t>
  </si>
  <si>
    <t xml:space="preserve">TC006</t>
  </si>
  <si>
    <t xml:space="preserve">description = null on minimal job</t>
  </si>
  <si>
    <t xml:space="preserve">Edge</t>
  </si>
  <si>
    <t xml:space="preserve">Job created without description</t>
  </si>
  <si>
    <t xml:space="preserve">data.description is null; FE renders empty placeholder</t>
  </si>
  <si>
    <t xml:space="preserve">TC007</t>
  </si>
  <si>
    <t xml:space="preserve">description very long (5000 chars)</t>
  </si>
  <si>
    <t xml:space="preserve">Job with 5000-char description</t>
  </si>
  <si>
    <t xml:space="preserve">description returned in full; no truncation in API</t>
  </si>
  <si>
    <t xml:space="preserve">TC008</t>
  </si>
  <si>
    <t xml:space="preserve">workOrderNumber optional</t>
  </si>
  <si>
    <t xml:space="preserve">Job with no WO linked</t>
  </si>
  <si>
    <t xml:space="preserve">data.workOrderNumber is null</t>
  </si>
  <si>
    <t xml:space="preserve">TC009</t>
  </si>
  <si>
    <t xml:space="preserve">Customer block populated</t>
  </si>
  <si>
    <t xml:space="preserve">Job linked to customer</t>
  </si>
  <si>
    <t xml:space="preserve">data.customer.id and data.customer.name present</t>
  </si>
  <si>
    <t xml:space="preserve">TC010</t>
  </si>
  <si>
    <t xml:space="preserve">Customer = null for internal jobs</t>
  </si>
  <si>
    <t xml:space="preserve">Internal job with no customer</t>
  </si>
  <si>
    <t xml:space="preserve">data.customer is null</t>
  </si>
  <si>
    <t xml:space="preserve">TC011</t>
  </si>
  <si>
    <t xml:space="preserve">jobMedia array with one image</t>
  </si>
  <si>
    <t xml:space="preserve">Job with one uploaded image</t>
  </si>
  <si>
    <t xml:space="preserve">data.jobMedia[0] has id, url, documentType='image'</t>
  </si>
  <si>
    <t xml:space="preserve">TC012</t>
  </si>
  <si>
    <t xml:space="preserve">jobMedia empty array</t>
  </si>
  <si>
    <t xml:space="preserve">Job with no media</t>
  </si>
  <si>
    <t xml:space="preserve">data.jobMedia = []; gallery empty state on FE</t>
  </si>
  <si>
    <t xml:space="preserve">TC013</t>
  </si>
  <si>
    <t xml:space="preserve">jobMedia with 20+ items</t>
  </si>
  <si>
    <t xml:space="preserve">Job with 25 media entries</t>
  </si>
  <si>
    <t xml:space="preserve">All 25 items returned in jobMedia array</t>
  </si>
  <si>
    <t xml:space="preserve">TC014</t>
  </si>
  <si>
    <t xml:space="preserve">jobMedia mixed pdf + image</t>
  </si>
  <si>
    <t xml:space="preserve">Job with pdf and image attachments</t>
  </si>
  <si>
    <t xml:space="preserve">Each entry has correct documentType; both types returned</t>
  </si>
  <si>
    <t xml:space="preserve">TC015</t>
  </si>
  <si>
    <t xml:space="preserve">Full siteAddress populated</t>
  </si>
  <si>
    <t xml:space="preserve">Job with complete address</t>
  </si>
  <si>
    <t xml:space="preserve">addressLine1, city, state, zip, fullAddress, latitude, longitude all set</t>
  </si>
  <si>
    <t xml:space="preserve">TC016</t>
  </si>
  <si>
    <t xml:space="preserve">addressLine2 = null (single-line address)</t>
  </si>
  <si>
    <t xml:space="preserve">Job without unit number</t>
  </si>
  <si>
    <t xml:space="preserve">data.siteAddress.addressLine2 is null; fullAddress excludes it</t>
  </si>
  <si>
    <t xml:space="preserve">TC017</t>
  </si>
  <si>
    <t xml:space="preserve">latitude / longitude null</t>
  </si>
  <si>
    <t xml:space="preserve">Address not geocoded</t>
  </si>
  <si>
    <t xml:space="preserve">siteAddress.latitude and longitude are null; map fallback on FE</t>
  </si>
  <si>
    <t xml:space="preserve">TC018</t>
  </si>
  <si>
    <t xml:space="preserve">fullAddress matches concatenation</t>
  </si>
  <si>
    <t xml:space="preserve">Address with all lines</t>
  </si>
  <si>
    <t xml:space="preserve">fullAddress = addressLine1 + ', ' + city + ', ' + state + ' ' + zip</t>
  </si>
  <si>
    <t xml:space="preserve">TC019</t>
  </si>
  <si>
    <t xml:space="preserve">International zip / non-US state</t>
  </si>
  <si>
    <t xml:space="preserve">Job with UK postcode 'SW1A 1AA'</t>
  </si>
  <si>
    <t xml:space="preserve">zip returned verbatim; no validation rejection</t>
  </si>
  <si>
    <t xml:space="preserve">TC020</t>
  </si>
  <si>
    <t xml:space="preserve">All hierarchy levels populated</t>
  </si>
  <si>
    <t xml:space="preserve">Site under complex/block/floor/unit</t>
  </si>
  <si>
    <t xml:space="preserve">buildingUnit, complex, block, floor all present</t>
  </si>
  <si>
    <t xml:space="preserve">TC021</t>
  </si>
  <si>
    <t xml:space="preserve">Only complex populated</t>
  </si>
  <si>
    <t xml:space="preserve">Standalone tower (no block/floor)</t>
  </si>
  <si>
    <t xml:space="preserve">complex set; block/floor/buildingUnit = null</t>
  </si>
  <si>
    <t xml:space="preserve">TC022</t>
  </si>
  <si>
    <t xml:space="preserve">All hierarchy null</t>
  </si>
  <si>
    <t xml:space="preserve">Plain street address</t>
  </si>
  <si>
    <t xml:space="preserve">buildingUnit, complex, block, floor all null</t>
  </si>
  <si>
    <t xml:space="preserve">TC023</t>
  </si>
  <si>
    <t xml:space="preserve">jobZones array with items</t>
  </si>
  <si>
    <t xml:space="preserve">Job tagged in zone</t>
  </si>
  <si>
    <t xml:space="preserve">data.jobZones contains {id, name}</t>
  </si>
  <si>
    <t xml:space="preserve">TC024</t>
  </si>
  <si>
    <t xml:space="preserve">jobZones empty</t>
  </si>
  <si>
    <t xml:space="preserve">Job with no zone</t>
  </si>
  <si>
    <t xml:space="preserve">data.jobZones = []</t>
  </si>
  <si>
    <t xml:space="preserve">TC025</t>
  </si>
  <si>
    <t xml:space="preserve">jobTags array with items</t>
  </si>
  <si>
    <t xml:space="preserve">Job with tags</t>
  </si>
  <si>
    <t xml:space="preserve">data.jobTags contains {id, name}</t>
  </si>
  <si>
    <t xml:space="preserve">TC026</t>
  </si>
  <si>
    <t xml:space="preserve">jobTags empty</t>
  </si>
  <si>
    <t xml:space="preserve">Job with no tags</t>
  </si>
  <si>
    <t xml:space="preserve">data.jobTags = []</t>
  </si>
  <si>
    <t xml:space="preserve">TC027</t>
  </si>
  <si>
    <t xml:space="preserve">Many tags (10+)</t>
  </si>
  <si>
    <t xml:space="preserve">Job with 15 tags</t>
  </si>
  <si>
    <t xml:space="preserve">All 15 tag objects returned in jobTags</t>
  </si>
  <si>
    <t xml:space="preserve">TC028</t>
  </si>
  <si>
    <t xml:space="preserve">jobLead full profile</t>
  </si>
  <si>
    <t xml:space="preserve">Job with assigned lead</t>
  </si>
  <si>
    <t xml:space="preserve">jobLead has userId, username, phoneNumber, email, officeNumber, profileImg, officeExtension</t>
  </si>
  <si>
    <t xml:space="preserve">TC029</t>
  </si>
  <si>
    <t xml:space="preserve">jobLead = null when unassigned</t>
  </si>
  <si>
    <t xml:space="preserve">Job created without lead</t>
  </si>
  <si>
    <t xml:space="preserve">data.jobLead is null</t>
  </si>
  <si>
    <t xml:space="preserve">TC030</t>
  </si>
  <si>
    <t xml:space="preserve">jobLead officeExtension = null</t>
  </si>
  <si>
    <t xml:space="preserve">Lead has no extension</t>
  </si>
  <si>
    <t xml:space="preserve">officeExtension is null; other fields populated</t>
  </si>
  <si>
    <t xml:space="preserve">TC031</t>
  </si>
  <si>
    <t xml:space="preserve">jobLead profileImg = null</t>
  </si>
  <si>
    <t xml:space="preserve">Lead never uploaded photo</t>
  </si>
  <si>
    <t xml:space="preserve">profileImg is null; FE shows initials avatar</t>
  </si>
  <si>
    <t xml:space="preserve">TC032</t>
  </si>
  <si>
    <t xml:space="preserve">salesManager populated</t>
  </si>
  <si>
    <t xml:space="preserve">Job with assigned sales manager</t>
  </si>
  <si>
    <t xml:space="preserve">salesManager mirrors jobLead structure</t>
  </si>
  <si>
    <t xml:space="preserve">TC033</t>
  </si>
  <si>
    <t xml:space="preserve">salesManager = null</t>
  </si>
  <si>
    <t xml:space="preserve">Job with no sales manager</t>
  </si>
  <si>
    <t xml:space="preserve">data.salesManager is null</t>
  </si>
  <si>
    <t xml:space="preserve">TC034</t>
  </si>
  <si>
    <t xml:space="preserve">Requester with multiple phones/emails</t>
  </si>
  <si>
    <t xml:space="preserve">Requester has 2 office, 2 mobile, 2 emails</t>
  </si>
  <si>
    <t xml:space="preserve">requester.officePhoneNumber, mobileNumber, email each are arrays length 2</t>
  </si>
  <si>
    <t xml:space="preserve">TC035</t>
  </si>
  <si>
    <t xml:space="preserve">Requester with single contact each</t>
  </si>
  <si>
    <t xml:space="preserve">Requester with 1 office, 1 mobile, 1 email</t>
  </si>
  <si>
    <t xml:space="preserve">Each array length 1</t>
  </si>
  <si>
    <t xml:space="preserve">TC036</t>
  </si>
  <si>
    <t xml:space="preserve">Requester email array empty</t>
  </si>
  <si>
    <t xml:space="preserve">Requester saved without email</t>
  </si>
  <si>
    <t xml:space="preserve">requester.email = []</t>
  </si>
  <si>
    <t xml:space="preserve">TC037</t>
  </si>
  <si>
    <t xml:space="preserve">Requester officePhoneExtension = null</t>
  </si>
  <si>
    <t xml:space="preserve">Office phone without extension</t>
  </si>
  <si>
    <t xml:space="preserve">officePhoneExtension is null in array item</t>
  </si>
  <si>
    <t xml:space="preserve">TC038</t>
  </si>
  <si>
    <t xml:space="preserve">Requester title = null</t>
  </si>
  <si>
    <t xml:space="preserve">Requester not given title</t>
  </si>
  <si>
    <t xml:space="preserve">data.requester.title is null</t>
  </si>
  <si>
    <t xml:space="preserve">TC039</t>
  </si>
  <si>
    <t xml:space="preserve">siteContact populated</t>
  </si>
  <si>
    <t xml:space="preserve">Site contact assigned</t>
  </si>
  <si>
    <t xml:space="preserve">siteContact mirrors requester schema; non-null</t>
  </si>
  <si>
    <t xml:space="preserve">TC040</t>
  </si>
  <si>
    <t xml:space="preserve">siteContact = requester (same person)</t>
  </si>
  <si>
    <t xml:space="preserve">Same person on both</t>
  </si>
  <si>
    <t xml:space="preserve">siteContact.id == requester.id; both objects populated</t>
  </si>
  <si>
    <t xml:space="preserve">TC041</t>
  </si>
  <si>
    <t xml:space="preserve">siteContact = null</t>
  </si>
  <si>
    <t xml:space="preserve">No onsite contact</t>
  </si>
  <si>
    <t xml:space="preserve">data.siteContact is null</t>
  </si>
  <si>
    <t xml:space="preserve">TC042</t>
  </si>
  <si>
    <t xml:space="preserve">crmLead present</t>
  </si>
  <si>
    <t xml:space="preserve">Job created from CRM lead</t>
  </si>
  <si>
    <t xml:space="preserve">data.crmLead.id (UUID) and leadNumber present</t>
  </si>
  <si>
    <t xml:space="preserve">TC043</t>
  </si>
  <si>
    <t xml:space="preserve">crmLead = null</t>
  </si>
  <si>
    <t xml:space="preserve">Manual job (no CRM origin)</t>
  </si>
  <si>
    <t xml:space="preserve">data.crmLead is null</t>
  </si>
  <si>
    <t xml:space="preserve">TC044</t>
  </si>
  <si>
    <t xml:space="preserve">taskCounts on new job</t>
  </si>
  <si>
    <t xml:space="preserve">Newly created job</t>
  </si>
  <si>
    <t xml:space="preserve">total=0, closed=0, clockedIn=0, clockedOut=0, cancelled=0</t>
  </si>
  <si>
    <t xml:space="preserve">TC045</t>
  </si>
  <si>
    <t xml:space="preserve">taskCounts mid-execution</t>
  </si>
  <si>
    <t xml:space="preserve">Job with 10 tasks in progress</t>
  </si>
  <si>
    <t xml:space="preserve">total=10; clockedIn + clockedOut + closed + cancelled &lt;= total</t>
  </si>
  <si>
    <t xml:space="preserve">TC046</t>
  </si>
  <si>
    <t xml:space="preserve">taskCounts arithmetic consistency</t>
  </si>
  <si>
    <t xml:space="preserve">Job at any stage</t>
  </si>
  <si>
    <t xml:space="preserve">closed + cancelled + (open task states) sums to &lt;= total</t>
  </si>
  <si>
    <t xml:space="preserve">TC047</t>
  </si>
  <si>
    <t xml:space="preserve">media item with signedUrl + variants</t>
  </si>
  <si>
    <t xml:space="preserve">Job with one uploaded media</t>
  </si>
  <si>
    <t xml:space="preserve">media[0] has mediaId, s3Key, signedUrl, mimeType, originalName, size, variants[], metadata</t>
  </si>
  <si>
    <t xml:space="preserve">TC048</t>
  </si>
  <si>
    <t xml:space="preserve">media variants includes THUMBNAIL</t>
  </si>
  <si>
    <t xml:space="preserve">Image media item</t>
  </si>
  <si>
    <t xml:space="preserve">variants[].variantType='THUMBNAIL' with its own signedUrl</t>
  </si>
  <si>
    <t xml:space="preserve">TC049</t>
  </si>
  <si>
    <t xml:space="preserve">media variants empty</t>
  </si>
  <si>
    <t xml:space="preserve">Document with no thumbnail</t>
  </si>
  <si>
    <t xml:space="preserve">media[i].variants = []</t>
  </si>
  <si>
    <t xml:space="preserve">TC050</t>
  </si>
  <si>
    <t xml:space="preserve">media metadata.taskId present</t>
  </si>
  <si>
    <t xml:space="preserve">Media uploaded against a task</t>
  </si>
  <si>
    <t xml:space="preserve">media[i].metadata.taskId is a UUID</t>
  </si>
  <si>
    <t xml:space="preserve">TC051</t>
  </si>
  <si>
    <t xml:space="preserve">media size returned as string</t>
  </si>
  <si>
    <t xml:space="preserve">Any media</t>
  </si>
  <si>
    <t xml:space="preserve">media[i].size is string (matches example contract '2000')</t>
  </si>
  <si>
    <t xml:space="preserve">TC052</t>
  </si>
  <si>
    <t xml:space="preserve">Large media file (&gt;50 MB)</t>
  </si>
  <si>
    <t xml:space="preserve">Job with big PDF</t>
  </si>
  <si>
    <t xml:space="preserve">signedUrl returned; size reflects bytes</t>
  </si>
  <si>
    <t xml:space="preserve">TC053</t>
  </si>
  <si>
    <t xml:space="preserve">statusInfo populated</t>
  </si>
  <si>
    <t xml:space="preserve">Job with active tasks</t>
  </si>
  <si>
    <t xml:space="preserve">statusInfo.status, totalTasksCount, overdueTasksCount, openTasksCount all numeric</t>
  </si>
  <si>
    <t xml:space="preserve">TC054</t>
  </si>
  <si>
    <t xml:space="preserve">statusInfo.overdueTasksCount &gt; 0</t>
  </si>
  <si>
    <t xml:space="preserve">Job with overdue tasks</t>
  </si>
  <si>
    <t xml:space="preserve">overdueTasksCount &gt; 0; surfaces red badge on FE</t>
  </si>
  <si>
    <t xml:space="preserve">TC055</t>
  </si>
  <si>
    <t xml:space="preserve">statusInfo zeros on fresh job</t>
  </si>
  <si>
    <t xml:space="preserve">Brand-new job</t>
  </si>
  <si>
    <t xml:space="preserve">totalTasksCount=0, overdueTasksCount=0, openTasksCount=0</t>
  </si>
  <si>
    <t xml:space="preserve">TC056</t>
  </si>
  <si>
    <t xml:space="preserve">Recurring job with SLA</t>
  </si>
  <si>
    <t xml:space="preserve">Job with isRecurringJob=true</t>
  </si>
  <si>
    <t xml:space="preserve">isRecurringJob=true; recurringService non-null with id, name, frequency, dates, totalAmount, origin</t>
  </si>
  <si>
    <t xml:space="preserve">TC057</t>
  </si>
  <si>
    <t xml:space="preserve">Non-recurring job</t>
  </si>
  <si>
    <t xml:space="preserve">Standalone job</t>
  </si>
  <si>
    <t xml:space="preserve">isRecurringJob=false; recurringService=null; recurringSummary=null</t>
  </si>
  <si>
    <t xml:space="preserve">TC058</t>
  </si>
  <si>
    <t xml:space="preserve">Recurring origin = JOB</t>
  </si>
  <si>
    <t xml:space="preserve">SLA created on /jobs path</t>
  </si>
  <si>
    <t xml:space="preserve">recurringService.origin = 'JOB'</t>
  </si>
  <si>
    <t xml:space="preserve">TC059</t>
  </si>
  <si>
    <t xml:space="preserve">Recurring origin = ESTIMATE</t>
  </si>
  <si>
    <t xml:space="preserve">SLA created via estimate then approved</t>
  </si>
  <si>
    <t xml:space="preserve">recurringService.origin = 'ESTIMATE'</t>
  </si>
  <si>
    <t xml:space="preserve">TC060</t>
  </si>
  <si>
    <t xml:space="preserve">visitFrequency = WEEKLY</t>
  </si>
  <si>
    <t xml:space="preserve">WEEKLY SLA</t>
  </si>
  <si>
    <t xml:space="preserve">visitFrequency='WEEKLY'</t>
  </si>
  <si>
    <t xml:space="preserve">TC061</t>
  </si>
  <si>
    <t xml:space="preserve">visitFrequency = BI_WEEKLY</t>
  </si>
  <si>
    <t xml:space="preserve">Biweekly SLA</t>
  </si>
  <si>
    <t xml:space="preserve">visitFrequency='BI_WEEKLY'</t>
  </si>
  <si>
    <t xml:space="preserve">TC062</t>
  </si>
  <si>
    <t xml:space="preserve">visitFrequency = MONTHLY</t>
  </si>
  <si>
    <t xml:space="preserve">Monthly SLA</t>
  </si>
  <si>
    <t xml:space="preserve">visitFrequency='MONTHLY'</t>
  </si>
  <si>
    <t xml:space="preserve">TC063</t>
  </si>
  <si>
    <t xml:space="preserve">visitFrequency = QUARTERLY</t>
  </si>
  <si>
    <t xml:space="preserve">Quarterly SLA</t>
  </si>
  <si>
    <t xml:space="preserve">visitFrequency='QUARTERLY'</t>
  </si>
  <si>
    <t xml:space="preserve">TC064</t>
  </si>
  <si>
    <t xml:space="preserve">visitFrequency = YEARLY</t>
  </si>
  <si>
    <t xml:space="preserve">Yearly SLA</t>
  </si>
  <si>
    <t xml:space="preserve">visitFrequency='YEARLY'</t>
  </si>
  <si>
    <t xml:space="preserve">TC065</t>
  </si>
  <si>
    <t xml:space="preserve">endType = AFTER_VISITS</t>
  </si>
  <si>
    <t xml:space="preserve">SLA ends after N visits</t>
  </si>
  <si>
    <t xml:space="preserve">endType='AFTER_VISITS'; numberOfVisits drives end</t>
  </si>
  <si>
    <t xml:space="preserve">TC066</t>
  </si>
  <si>
    <t xml:space="preserve">endType = ON_DATE</t>
  </si>
  <si>
    <t xml:space="preserve">SLA ends on a fixed date</t>
  </si>
  <si>
    <t xml:space="preserve">endType='ON_DATE'; endDateTime drives end</t>
  </si>
  <si>
    <t xml:space="preserve">TC067</t>
  </si>
  <si>
    <t xml:space="preserve">chargeType = PER_VISIT</t>
  </si>
  <si>
    <t xml:space="preserve">Per-visit billing</t>
  </si>
  <si>
    <t xml:space="preserve">chargeType='PER_VISIT'</t>
  </si>
  <si>
    <t xml:space="preserve">TC068</t>
  </si>
  <si>
    <t xml:space="preserve">chargeType = AFTER_ALL_VISITS</t>
  </si>
  <si>
    <t xml:space="preserve">One-shot final invoice</t>
  </si>
  <si>
    <t xml:space="preserve">chargeType='AFTER_ALL_VISITS'</t>
  </si>
  <si>
    <t xml:space="preserve">TC069</t>
  </si>
  <si>
    <t xml:space="preserve">numberOfVisits = 1 (single-visit SLA)</t>
  </si>
  <si>
    <t xml:space="preserve">Trial SLA</t>
  </si>
  <si>
    <t xml:space="preserve">numberOfVisits=1; endDateTime = startDateTime</t>
  </si>
  <si>
    <t xml:space="preserve">TC070</t>
  </si>
  <si>
    <t xml:space="preserve">numberOfVisits = 100+</t>
  </si>
  <si>
    <t xml:space="preserve">Long contract</t>
  </si>
  <si>
    <t xml:space="preserve">Large numberOfVisits returned as integer</t>
  </si>
  <si>
    <t xml:space="preserve">TC071</t>
  </si>
  <si>
    <t xml:space="preserve">totalAmount = 0</t>
  </si>
  <si>
    <t xml:space="preserve">Zero-value SLA</t>
  </si>
  <si>
    <t xml:space="preserve">totalAmount=0 returned (no rounding artifact)</t>
  </si>
  <si>
    <t xml:space="preserve">TC072</t>
  </si>
  <si>
    <t xml:space="preserve">termsConditions multi-line</t>
  </si>
  <si>
    <t xml:space="preserve">Terms with newlines</t>
  </si>
  <si>
    <t xml:space="preserve">termsConditions preserves \n in response</t>
  </si>
  <si>
    <t xml:space="preserve">TC073</t>
  </si>
  <si>
    <t xml:space="preserve">termsConditions = null</t>
  </si>
  <si>
    <t xml:space="preserve">SLA without terms</t>
  </si>
  <si>
    <t xml:space="preserve">recurringService.termsConditions is null</t>
  </si>
  <si>
    <t xml:space="preserve">TC074</t>
  </si>
  <si>
    <t xml:space="preserve">recurringSummary populated</t>
  </si>
  <si>
    <t xml:space="preserve">Recurring job mid-cycle</t>
  </si>
  <si>
    <t xml:space="preserve">invoicedAmount, paidAmount, outstandingBalance all numeric</t>
  </si>
  <si>
    <t xml:space="preserve">TC075</t>
  </si>
  <si>
    <t xml:space="preserve">Summary with nothing invoiced yet</t>
  </si>
  <si>
    <t xml:space="preserve">SLA approved, no invoices</t>
  </si>
  <si>
    <t xml:space="preserve">invoicedAmount=0; outstandingBalance=totalAmount</t>
  </si>
  <si>
    <t xml:space="preserve">TC076</t>
  </si>
  <si>
    <t xml:space="preserve">Summary fully paid</t>
  </si>
  <si>
    <t xml:space="preserve">All invoices paid</t>
  </si>
  <si>
    <t xml:space="preserve">paidAmount=invoicedAmount; outstandingBalance=totalAmount-paidAmount</t>
  </si>
  <si>
    <t xml:space="preserve">TC077</t>
  </si>
  <si>
    <t xml:space="preserve">Summary outstandingBalance arithmetic</t>
  </si>
  <si>
    <t xml:space="preserve">Any recurring job</t>
  </si>
  <si>
    <t xml:space="preserve">outstandingBalance = recurringService.totalAmount - paidAmount</t>
  </si>
  <si>
    <t xml:space="preserve">TC078</t>
  </si>
  <si>
    <t xml:space="preserve">recurringSummary = null on non-recurring</t>
  </si>
  <si>
    <t xml:space="preserve">data.recurringSummary is null</t>
  </si>
  <si>
    <t xml:space="preserve">TC079</t>
  </si>
  <si>
    <t xml:space="preserve">Response envelope shape</t>
  </si>
  <si>
    <t xml:space="preserve">Any valid jobId</t>
  </si>
  <si>
    <t xml:space="preserve">Top-level keys: success, data, message, timestamp, statusCode</t>
  </si>
  <si>
    <t xml:space="preserve">TC080</t>
  </si>
  <si>
    <t xml:space="preserve">statusCode field equals HTTP status</t>
  </si>
  <si>
    <t xml:space="preserve">body.statusCode = 200</t>
  </si>
  <si>
    <t xml:space="preserve">TC081</t>
  </si>
  <si>
    <t xml:space="preserve">timestamp is current</t>
  </si>
  <si>
    <t xml:space="preserve">Any request</t>
  </si>
  <si>
    <t xml:space="preserve">body.timestamp within 60s of server clock</t>
  </si>
  <si>
    <t xml:space="preserve">TC082</t>
  </si>
  <si>
    <t xml:space="preserve">Unicode in name field</t>
  </si>
  <si>
    <r>
      <rPr>
        <sz val="10"/>
        <rFont val="Arial"/>
        <family val="0"/>
        <charset val="1"/>
      </rPr>
      <t xml:space="preserve">Job name 'सेवा </t>
    </r>
    <r>
      <rPr>
        <sz val="10"/>
        <rFont val="DejaVu Sans"/>
        <family val="2"/>
      </rPr>
      <t xml:space="preserve">修理 €</t>
    </r>
    <r>
      <rPr>
        <sz val="10"/>
        <rFont val="Arial"/>
        <family val="0"/>
        <charset val="1"/>
      </rPr>
      <t xml:space="preserve">'</t>
    </r>
  </si>
  <si>
    <t xml:space="preserve">data.name returned UTF-8 intact</t>
  </si>
  <si>
    <t xml:space="preserve">TC083</t>
  </si>
  <si>
    <t xml:space="preserve">Whitespace-only name preserved</t>
  </si>
  <si>
    <t xml:space="preserve">Job saved with trailing spaces</t>
  </si>
  <si>
    <t xml:space="preserve">data.name returned with whitespace intact</t>
  </si>
  <si>
    <t xml:space="preserve">TC084</t>
  </si>
  <si>
    <t xml:space="preserve">Concurrent reads return identical body</t>
  </si>
  <si>
    <t xml:space="preserve">Two parallel GETs</t>
  </si>
  <si>
    <t xml:space="preserve">Both responses byte-equivalent (excluding timestamp)</t>
  </si>
  <si>
    <t xml:space="preserve">TC085</t>
  </si>
  <si>
    <t xml:space="preserve">Cancelled tasks excluded from taskCounts.total</t>
  </si>
  <si>
    <t xml:space="preserve">Job with 5 active + 2 cancelled tasks</t>
  </si>
  <si>
    <t xml:space="preserve">taskCounts.total=5 (cancelled NOT counted); taskCounts.cancelled=2 reported separately</t>
  </si>
  <si>
    <t xml:space="preserve">TC086</t>
  </si>
  <si>
    <t xml:space="preserve">Cancelled tasks excluded from open/clockedIn/clockedOut</t>
  </si>
  <si>
    <t xml:space="preserve">Mix of active + cancelled</t>
  </si>
  <si>
    <t xml:space="preserve">openTasksCount, clockedIn, clockedOut reflect only non-cancelled tasks</t>
  </si>
  <si>
    <t xml:space="preserve">TC087</t>
  </si>
  <si>
    <t xml:space="preserve">statusInfo.totalTasksCount excludes cancelled</t>
  </si>
  <si>
    <t xml:space="preserve">Job with 8 tasks, 3 cancelled</t>
  </si>
  <si>
    <t xml:space="preserve">statusInfo.totalTasksCount=5</t>
  </si>
  <si>
    <t xml:space="preserve">TC088</t>
  </si>
  <si>
    <t xml:space="preserve">statusInfo.overdueTasksCount excludes cancelled</t>
  </si>
  <si>
    <t xml:space="preserve">Overdue tasks include 2 cancelled overdue</t>
  </si>
  <si>
    <t xml:space="preserve">overdueTasksCount counts only active overdue tasks</t>
  </si>
  <si>
    <t xml:space="preserve">TC089</t>
  </si>
  <si>
    <t xml:space="preserve">statusInfo.openTasksCount excludes cancelled</t>
  </si>
  <si>
    <t xml:space="preserve">10 tasks, 4 cancelled, 6 open</t>
  </si>
  <si>
    <t xml:space="preserve">openTasksCount=6</t>
  </si>
  <si>
    <t xml:space="preserve">TC090</t>
  </si>
  <si>
    <t xml:space="preserve">All-cancelled job shows zero counts</t>
  </si>
  <si>
    <t xml:space="preserve">All tasks on job are cancelled</t>
  </si>
  <si>
    <t xml:space="preserve">totalTasksCount=0, openTasksCount=0; FE renders 'no active tasks'</t>
  </si>
  <si>
    <t xml:space="preserve">TC091</t>
  </si>
  <si>
    <t xml:space="preserve">recurringSummary.invoicedAmount excludes void invoices</t>
  </si>
  <si>
    <t xml:space="preserve">Recurring job with 3 invoices: 2 Sent ($100 each) + 1 Void ($100)</t>
  </si>
  <si>
    <t xml:space="preserve">invoicedAmount = 200 (void $100 NOT included)</t>
  </si>
  <si>
    <t xml:space="preserve">TC092</t>
  </si>
  <si>
    <t xml:space="preserve">recurringSummary.paidAmount excludes void invoices</t>
  </si>
  <si>
    <t xml:space="preserve">Void invoice had been partially paid before voiding</t>
  </si>
  <si>
    <t xml:space="preserve">paidAmount excludes any totalPaidAmount from void invoices</t>
  </si>
  <si>
    <t xml:space="preserve">TC093</t>
  </si>
  <si>
    <t xml:space="preserve">outstandingBalance after voiding excess invoice</t>
  </si>
  <si>
    <t xml:space="preserve">totalAmount=1000, paid=600, void=200, sent=200</t>
  </si>
  <si>
    <t xml:space="preserve">outstandingBalance = totalAmount - paidAmount = 400 (void ignored)</t>
  </si>
  <si>
    <t xml:space="preserve">TC094</t>
  </si>
  <si>
    <t xml:space="preserve">Mixed void + paid + sent recurring invoices</t>
  </si>
  <si>
    <t xml:space="preserve">1 Paid $300, 1 Sent $300, 1 Void $300, totalAmount=900</t>
  </si>
  <si>
    <t xml:space="preserve">invoicedAmount=600, paidAmount=300, outstandingBalance=600</t>
  </si>
  <si>
    <t xml:space="preserve">Job Detail (GET /jobs/{id}) — Test Plan</t>
  </si>
  <si>
    <t xml:space="preserve">Total cases</t>
  </si>
  <si>
    <t xml:space="preserve">Passed</t>
  </si>
  <si>
    <t xml:space="preserve">Failed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</si>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</sst>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9"/>
    <col collapsed="false" customWidth="true" hidden="false" outlineLevel="0" max="4" min="4" style="1" width="48"/>
    <col collapsed="false" customWidth="true" hidden="false" outlineLevel="0" max="5" min="5" style="1" width="9"/>
    <col collapsed="false" customWidth="true" hidden="false" outlineLevel="0" max="6" min="6" style="1" width="48"/>
    <col collapsed="false" customWidth="true" hidden="false" outlineLevel="0" max="7" min="7" style="1" width="15"/>
    <col collapsed="false" customWidth="true" hidden="false" outlineLevel="0" max="8" min="8" style="1" width="62"/>
    <col collapsed="false" customWidth="true" hidden="false" outlineLevel="0" max="9" min="9" style="1" width="10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3.2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23.25" hidden="false" customHeight="true" outlineLevel="0" collapsed="false">
      <c r="A3" s="3" t="s">
        <v>18</v>
      </c>
      <c r="B3" s="3" t="s">
        <v>10</v>
      </c>
      <c r="C3" s="3" t="s">
        <v>11</v>
      </c>
      <c r="D3" s="3" t="s">
        <v>19</v>
      </c>
      <c r="E3" s="4" t="s">
        <v>13</v>
      </c>
      <c r="F3" s="3" t="s">
        <v>20</v>
      </c>
      <c r="G3" s="3" t="s">
        <v>15</v>
      </c>
      <c r="H3" s="3" t="s">
        <v>21</v>
      </c>
      <c r="I3" s="3" t="s">
        <v>17</v>
      </c>
    </row>
    <row r="4" customFormat="false" ht="15" hidden="false" customHeight="true" outlineLevel="0" collapsed="false">
      <c r="A4" s="3" t="s">
        <v>22</v>
      </c>
      <c r="B4" s="3" t="s">
        <v>10</v>
      </c>
      <c r="C4" s="3" t="s">
        <v>11</v>
      </c>
      <c r="D4" s="3" t="s">
        <v>23</v>
      </c>
      <c r="E4" s="4" t="s">
        <v>13</v>
      </c>
      <c r="F4" s="3" t="s">
        <v>20</v>
      </c>
      <c r="G4" s="3" t="s">
        <v>15</v>
      </c>
      <c r="H4" s="3" t="s">
        <v>24</v>
      </c>
      <c r="I4" s="3" t="s">
        <v>17</v>
      </c>
    </row>
    <row r="5" customFormat="false" ht="15" hidden="false" customHeight="true" outlineLevel="0" collapsed="false">
      <c r="A5" s="3" t="s">
        <v>25</v>
      </c>
      <c r="B5" s="3" t="s">
        <v>10</v>
      </c>
      <c r="C5" s="3" t="s">
        <v>11</v>
      </c>
      <c r="D5" s="3" t="s">
        <v>26</v>
      </c>
      <c r="E5" s="4" t="s">
        <v>13</v>
      </c>
      <c r="F5" s="3" t="s">
        <v>20</v>
      </c>
      <c r="G5" s="3" t="s">
        <v>15</v>
      </c>
      <c r="H5" s="3" t="s">
        <v>27</v>
      </c>
      <c r="I5" s="3" t="s">
        <v>17</v>
      </c>
    </row>
    <row r="6" customFormat="false" ht="15" hidden="false" customHeight="true" outlineLevel="0" collapsed="false">
      <c r="A6" s="3" t="s">
        <v>28</v>
      </c>
      <c r="B6" s="3" t="s">
        <v>10</v>
      </c>
      <c r="C6" s="3" t="s">
        <v>11</v>
      </c>
      <c r="D6" s="3" t="s">
        <v>29</v>
      </c>
      <c r="E6" s="4" t="s">
        <v>13</v>
      </c>
      <c r="F6" s="3" t="s">
        <v>30</v>
      </c>
      <c r="G6" s="3" t="s">
        <v>15</v>
      </c>
      <c r="H6" s="3" t="s">
        <v>31</v>
      </c>
      <c r="I6" s="3" t="s">
        <v>17</v>
      </c>
    </row>
    <row r="7" customFormat="false" ht="15" hidden="false" customHeight="true" outlineLevel="0" collapsed="false">
      <c r="A7" s="3" t="s">
        <v>32</v>
      </c>
      <c r="B7" s="3" t="s">
        <v>10</v>
      </c>
      <c r="C7" s="3" t="s">
        <v>11</v>
      </c>
      <c r="D7" s="3" t="s">
        <v>33</v>
      </c>
      <c r="E7" s="5" t="s">
        <v>34</v>
      </c>
      <c r="F7" s="3" t="s">
        <v>35</v>
      </c>
      <c r="G7" s="3" t="s">
        <v>15</v>
      </c>
      <c r="H7" s="3" t="s">
        <v>36</v>
      </c>
      <c r="I7" s="3" t="s">
        <v>17</v>
      </c>
    </row>
    <row r="8" customFormat="false" ht="15" hidden="false" customHeight="true" outlineLevel="0" collapsed="false">
      <c r="A8" s="3" t="s">
        <v>37</v>
      </c>
      <c r="B8" s="3" t="s">
        <v>10</v>
      </c>
      <c r="C8" s="3" t="s">
        <v>11</v>
      </c>
      <c r="D8" s="3" t="s">
        <v>38</v>
      </c>
      <c r="E8" s="5" t="s">
        <v>34</v>
      </c>
      <c r="F8" s="3" t="s">
        <v>39</v>
      </c>
      <c r="G8" s="3" t="s">
        <v>15</v>
      </c>
      <c r="H8" s="3" t="s">
        <v>40</v>
      </c>
      <c r="I8" s="3" t="s">
        <v>17</v>
      </c>
    </row>
    <row r="9" customFormat="false" ht="15" hidden="false" customHeight="true" outlineLevel="0" collapsed="false">
      <c r="A9" s="3" t="s">
        <v>41</v>
      </c>
      <c r="B9" s="3" t="s">
        <v>10</v>
      </c>
      <c r="C9" s="3" t="s">
        <v>11</v>
      </c>
      <c r="D9" s="3" t="s">
        <v>42</v>
      </c>
      <c r="E9" s="5" t="s">
        <v>34</v>
      </c>
      <c r="F9" s="3" t="s">
        <v>43</v>
      </c>
      <c r="G9" s="3" t="s">
        <v>15</v>
      </c>
      <c r="H9" s="3" t="s">
        <v>44</v>
      </c>
      <c r="I9" s="3" t="s">
        <v>17</v>
      </c>
    </row>
    <row r="10" customFormat="false" ht="15" hidden="false" customHeight="true" outlineLevel="0" collapsed="false">
      <c r="A10" s="3" t="s">
        <v>45</v>
      </c>
      <c r="B10" s="3" t="s">
        <v>10</v>
      </c>
      <c r="C10" s="3" t="s">
        <v>11</v>
      </c>
      <c r="D10" s="3" t="s">
        <v>46</v>
      </c>
      <c r="E10" s="4" t="s">
        <v>13</v>
      </c>
      <c r="F10" s="3" t="s">
        <v>47</v>
      </c>
      <c r="G10" s="3" t="s">
        <v>15</v>
      </c>
      <c r="H10" s="3" t="s">
        <v>48</v>
      </c>
      <c r="I10" s="3" t="s">
        <v>17</v>
      </c>
    </row>
    <row r="11" customFormat="false" ht="15" hidden="false" customHeight="true" outlineLevel="0" collapsed="false">
      <c r="A11" s="3" t="s">
        <v>49</v>
      </c>
      <c r="B11" s="3" t="s">
        <v>10</v>
      </c>
      <c r="C11" s="3" t="s">
        <v>11</v>
      </c>
      <c r="D11" s="3" t="s">
        <v>50</v>
      </c>
      <c r="E11" s="5" t="s">
        <v>34</v>
      </c>
      <c r="F11" s="3" t="s">
        <v>51</v>
      </c>
      <c r="G11" s="3" t="s">
        <v>15</v>
      </c>
      <c r="H11" s="3" t="s">
        <v>52</v>
      </c>
      <c r="I11" s="3" t="s">
        <v>17</v>
      </c>
    </row>
    <row r="12" customFormat="false" ht="15" hidden="false" customHeight="true" outlineLevel="0" collapsed="false">
      <c r="A12" s="3" t="s">
        <v>53</v>
      </c>
      <c r="B12" s="3" t="s">
        <v>10</v>
      </c>
      <c r="C12" s="3" t="s">
        <v>11</v>
      </c>
      <c r="D12" s="3" t="s">
        <v>54</v>
      </c>
      <c r="E12" s="4" t="s">
        <v>13</v>
      </c>
      <c r="F12" s="3" t="s">
        <v>55</v>
      </c>
      <c r="G12" s="3" t="s">
        <v>15</v>
      </c>
      <c r="H12" s="3" t="s">
        <v>56</v>
      </c>
      <c r="I12" s="3" t="s">
        <v>17</v>
      </c>
    </row>
    <row r="13" customFormat="false" ht="15" hidden="false" customHeight="true" outlineLevel="0" collapsed="false">
      <c r="A13" s="3" t="s">
        <v>57</v>
      </c>
      <c r="B13" s="3" t="s">
        <v>10</v>
      </c>
      <c r="C13" s="3" t="s">
        <v>11</v>
      </c>
      <c r="D13" s="3" t="s">
        <v>58</v>
      </c>
      <c r="E13" s="5" t="s">
        <v>34</v>
      </c>
      <c r="F13" s="3" t="s">
        <v>59</v>
      </c>
      <c r="G13" s="3" t="s">
        <v>15</v>
      </c>
      <c r="H13" s="3" t="s">
        <v>60</v>
      </c>
      <c r="I13" s="3" t="s">
        <v>17</v>
      </c>
    </row>
    <row r="14" customFormat="false" ht="15" hidden="false" customHeight="true" outlineLevel="0" collapsed="false">
      <c r="A14" s="3" t="s">
        <v>61</v>
      </c>
      <c r="B14" s="3" t="s">
        <v>10</v>
      </c>
      <c r="C14" s="3" t="s">
        <v>11</v>
      </c>
      <c r="D14" s="3" t="s">
        <v>62</v>
      </c>
      <c r="E14" s="5" t="s">
        <v>34</v>
      </c>
      <c r="F14" s="3" t="s">
        <v>63</v>
      </c>
      <c r="G14" s="3" t="s">
        <v>15</v>
      </c>
      <c r="H14" s="3" t="s">
        <v>64</v>
      </c>
      <c r="I14" s="3" t="s">
        <v>17</v>
      </c>
    </row>
    <row r="15" customFormat="false" ht="15" hidden="false" customHeight="true" outlineLevel="0" collapsed="false">
      <c r="A15" s="3" t="s">
        <v>65</v>
      </c>
      <c r="B15" s="3" t="s">
        <v>10</v>
      </c>
      <c r="C15" s="3" t="s">
        <v>11</v>
      </c>
      <c r="D15" s="3" t="s">
        <v>66</v>
      </c>
      <c r="E15" s="5" t="s">
        <v>34</v>
      </c>
      <c r="F15" s="3" t="s">
        <v>67</v>
      </c>
      <c r="G15" s="3" t="s">
        <v>15</v>
      </c>
      <c r="H15" s="3" t="s">
        <v>68</v>
      </c>
      <c r="I15" s="3" t="s">
        <v>17</v>
      </c>
    </row>
    <row r="16" customFormat="false" ht="15" hidden="false" customHeight="true" outlineLevel="0" collapsed="false">
      <c r="A16" s="3" t="s">
        <v>69</v>
      </c>
      <c r="B16" s="3" t="s">
        <v>10</v>
      </c>
      <c r="C16" s="3" t="s">
        <v>11</v>
      </c>
      <c r="D16" s="3" t="s">
        <v>70</v>
      </c>
      <c r="E16" s="4" t="s">
        <v>13</v>
      </c>
      <c r="F16" s="3" t="s">
        <v>71</v>
      </c>
      <c r="G16" s="3" t="s">
        <v>15</v>
      </c>
      <c r="H16" s="3" t="s">
        <v>72</v>
      </c>
      <c r="I16" s="3" t="s">
        <v>17</v>
      </c>
    </row>
    <row r="17" customFormat="false" ht="15" hidden="false" customHeight="true" outlineLevel="0" collapsed="false">
      <c r="A17" s="3" t="s">
        <v>73</v>
      </c>
      <c r="B17" s="3" t="s">
        <v>10</v>
      </c>
      <c r="C17" s="3" t="s">
        <v>11</v>
      </c>
      <c r="D17" s="3" t="s">
        <v>74</v>
      </c>
      <c r="E17" s="5" t="s">
        <v>34</v>
      </c>
      <c r="F17" s="3" t="s">
        <v>75</v>
      </c>
      <c r="G17" s="3" t="s">
        <v>15</v>
      </c>
      <c r="H17" s="3" t="s">
        <v>76</v>
      </c>
      <c r="I17" s="3" t="s">
        <v>17</v>
      </c>
    </row>
    <row r="18" customFormat="false" ht="15" hidden="false" customHeight="true" outlineLevel="0" collapsed="false">
      <c r="A18" s="3" t="s">
        <v>77</v>
      </c>
      <c r="B18" s="3" t="s">
        <v>10</v>
      </c>
      <c r="C18" s="3" t="s">
        <v>11</v>
      </c>
      <c r="D18" s="3" t="s">
        <v>78</v>
      </c>
      <c r="E18" s="5" t="s">
        <v>34</v>
      </c>
      <c r="F18" s="3" t="s">
        <v>79</v>
      </c>
      <c r="G18" s="3" t="s">
        <v>15</v>
      </c>
      <c r="H18" s="3" t="s">
        <v>80</v>
      </c>
      <c r="I18" s="3" t="s">
        <v>17</v>
      </c>
    </row>
    <row r="19" customFormat="false" ht="15" hidden="false" customHeight="true" outlineLevel="0" collapsed="false">
      <c r="A19" s="3" t="s">
        <v>81</v>
      </c>
      <c r="B19" s="3" t="s">
        <v>10</v>
      </c>
      <c r="C19" s="3" t="s">
        <v>11</v>
      </c>
      <c r="D19" s="3" t="s">
        <v>82</v>
      </c>
      <c r="E19" s="5" t="s">
        <v>34</v>
      </c>
      <c r="F19" s="3" t="s">
        <v>83</v>
      </c>
      <c r="G19" s="3" t="s">
        <v>15</v>
      </c>
      <c r="H19" s="3" t="s">
        <v>84</v>
      </c>
      <c r="I19" s="3" t="s">
        <v>17</v>
      </c>
    </row>
    <row r="20" customFormat="false" ht="15" hidden="false" customHeight="true" outlineLevel="0" collapsed="false">
      <c r="A20" s="3" t="s">
        <v>85</v>
      </c>
      <c r="B20" s="3" t="s">
        <v>10</v>
      </c>
      <c r="C20" s="3" t="s">
        <v>11</v>
      </c>
      <c r="D20" s="3" t="s">
        <v>86</v>
      </c>
      <c r="E20" s="5" t="s">
        <v>34</v>
      </c>
      <c r="F20" s="3" t="s">
        <v>87</v>
      </c>
      <c r="G20" s="3" t="s">
        <v>15</v>
      </c>
      <c r="H20" s="3" t="s">
        <v>88</v>
      </c>
      <c r="I20" s="3" t="s">
        <v>17</v>
      </c>
    </row>
    <row r="21" customFormat="false" ht="15" hidden="false" customHeight="true" outlineLevel="0" collapsed="false">
      <c r="A21" s="3" t="s">
        <v>89</v>
      </c>
      <c r="B21" s="3" t="s">
        <v>10</v>
      </c>
      <c r="C21" s="3" t="s">
        <v>11</v>
      </c>
      <c r="D21" s="3" t="s">
        <v>90</v>
      </c>
      <c r="E21" s="4" t="s">
        <v>13</v>
      </c>
      <c r="F21" s="3" t="s">
        <v>91</v>
      </c>
      <c r="G21" s="3" t="s">
        <v>15</v>
      </c>
      <c r="H21" s="3" t="s">
        <v>92</v>
      </c>
      <c r="I21" s="3" t="s">
        <v>17</v>
      </c>
    </row>
    <row r="22" customFormat="false" ht="15" hidden="false" customHeight="true" outlineLevel="0" collapsed="false">
      <c r="A22" s="3" t="s">
        <v>93</v>
      </c>
      <c r="B22" s="3" t="s">
        <v>10</v>
      </c>
      <c r="C22" s="3" t="s">
        <v>11</v>
      </c>
      <c r="D22" s="3" t="s">
        <v>94</v>
      </c>
      <c r="E22" s="5" t="s">
        <v>34</v>
      </c>
      <c r="F22" s="3" t="s">
        <v>95</v>
      </c>
      <c r="G22" s="3" t="s">
        <v>15</v>
      </c>
      <c r="H22" s="3" t="s">
        <v>96</v>
      </c>
      <c r="I22" s="3" t="s">
        <v>17</v>
      </c>
    </row>
    <row r="23" customFormat="false" ht="15" hidden="false" customHeight="true" outlineLevel="0" collapsed="false">
      <c r="A23" s="3" t="s">
        <v>97</v>
      </c>
      <c r="B23" s="3" t="s">
        <v>10</v>
      </c>
      <c r="C23" s="3" t="s">
        <v>11</v>
      </c>
      <c r="D23" s="3" t="s">
        <v>98</v>
      </c>
      <c r="E23" s="5" t="s">
        <v>34</v>
      </c>
      <c r="F23" s="3" t="s">
        <v>99</v>
      </c>
      <c r="G23" s="3" t="s">
        <v>15</v>
      </c>
      <c r="H23" s="3" t="s">
        <v>100</v>
      </c>
      <c r="I23" s="3" t="s">
        <v>17</v>
      </c>
    </row>
    <row r="24" customFormat="false" ht="15" hidden="false" customHeight="true" outlineLevel="0" collapsed="false">
      <c r="A24" s="3" t="s">
        <v>101</v>
      </c>
      <c r="B24" s="3" t="s">
        <v>10</v>
      </c>
      <c r="C24" s="3" t="s">
        <v>11</v>
      </c>
      <c r="D24" s="3" t="s">
        <v>102</v>
      </c>
      <c r="E24" s="4" t="s">
        <v>13</v>
      </c>
      <c r="F24" s="3" t="s">
        <v>103</v>
      </c>
      <c r="G24" s="3" t="s">
        <v>15</v>
      </c>
      <c r="H24" s="3" t="s">
        <v>104</v>
      </c>
      <c r="I24" s="3" t="s">
        <v>17</v>
      </c>
    </row>
    <row r="25" customFormat="false" ht="15" hidden="false" customHeight="true" outlineLevel="0" collapsed="false">
      <c r="A25" s="3" t="s">
        <v>105</v>
      </c>
      <c r="B25" s="3" t="s">
        <v>10</v>
      </c>
      <c r="C25" s="3" t="s">
        <v>11</v>
      </c>
      <c r="D25" s="3" t="s">
        <v>106</v>
      </c>
      <c r="E25" s="5" t="s">
        <v>34</v>
      </c>
      <c r="F25" s="3" t="s">
        <v>107</v>
      </c>
      <c r="G25" s="3" t="s">
        <v>15</v>
      </c>
      <c r="H25" s="3" t="s">
        <v>108</v>
      </c>
      <c r="I25" s="3" t="s">
        <v>17</v>
      </c>
    </row>
    <row r="26" customFormat="false" ht="15" hidden="false" customHeight="true" outlineLevel="0" collapsed="false">
      <c r="A26" s="3" t="s">
        <v>109</v>
      </c>
      <c r="B26" s="3" t="s">
        <v>10</v>
      </c>
      <c r="C26" s="3" t="s">
        <v>11</v>
      </c>
      <c r="D26" s="3" t="s">
        <v>110</v>
      </c>
      <c r="E26" s="4" t="s">
        <v>13</v>
      </c>
      <c r="F26" s="3" t="s">
        <v>111</v>
      </c>
      <c r="G26" s="3" t="s">
        <v>15</v>
      </c>
      <c r="H26" s="3" t="s">
        <v>112</v>
      </c>
      <c r="I26" s="3" t="s">
        <v>17</v>
      </c>
    </row>
    <row r="27" customFormat="false" ht="15" hidden="false" customHeight="true" outlineLevel="0" collapsed="false">
      <c r="A27" s="3" t="s">
        <v>113</v>
      </c>
      <c r="B27" s="3" t="s">
        <v>10</v>
      </c>
      <c r="C27" s="3" t="s">
        <v>11</v>
      </c>
      <c r="D27" s="3" t="s">
        <v>114</v>
      </c>
      <c r="E27" s="5" t="s">
        <v>34</v>
      </c>
      <c r="F27" s="3" t="s">
        <v>115</v>
      </c>
      <c r="G27" s="3" t="s">
        <v>15</v>
      </c>
      <c r="H27" s="3" t="s">
        <v>116</v>
      </c>
      <c r="I27" s="3" t="s">
        <v>17</v>
      </c>
    </row>
    <row r="28" customFormat="false" ht="15" hidden="false" customHeight="true" outlineLevel="0" collapsed="false">
      <c r="A28" s="3" t="s">
        <v>117</v>
      </c>
      <c r="B28" s="3" t="s">
        <v>10</v>
      </c>
      <c r="C28" s="3" t="s">
        <v>11</v>
      </c>
      <c r="D28" s="3" t="s">
        <v>118</v>
      </c>
      <c r="E28" s="5" t="s">
        <v>34</v>
      </c>
      <c r="F28" s="3" t="s">
        <v>119</v>
      </c>
      <c r="G28" s="3" t="s">
        <v>15</v>
      </c>
      <c r="H28" s="3" t="s">
        <v>120</v>
      </c>
      <c r="I28" s="3" t="s">
        <v>17</v>
      </c>
    </row>
    <row r="29" customFormat="false" ht="23.25" hidden="false" customHeight="true" outlineLevel="0" collapsed="false">
      <c r="A29" s="3" t="s">
        <v>121</v>
      </c>
      <c r="B29" s="3" t="s">
        <v>10</v>
      </c>
      <c r="C29" s="3" t="s">
        <v>11</v>
      </c>
      <c r="D29" s="3" t="s">
        <v>122</v>
      </c>
      <c r="E29" s="4" t="s">
        <v>13</v>
      </c>
      <c r="F29" s="3" t="s">
        <v>123</v>
      </c>
      <c r="G29" s="3" t="s">
        <v>15</v>
      </c>
      <c r="H29" s="3" t="s">
        <v>124</v>
      </c>
      <c r="I29" s="3" t="s">
        <v>17</v>
      </c>
    </row>
    <row r="30" customFormat="false" ht="15" hidden="false" customHeight="true" outlineLevel="0" collapsed="false">
      <c r="A30" s="3" t="s">
        <v>125</v>
      </c>
      <c r="B30" s="3" t="s">
        <v>10</v>
      </c>
      <c r="C30" s="3" t="s">
        <v>11</v>
      </c>
      <c r="D30" s="3" t="s">
        <v>126</v>
      </c>
      <c r="E30" s="5" t="s">
        <v>34</v>
      </c>
      <c r="F30" s="3" t="s">
        <v>127</v>
      </c>
      <c r="G30" s="3" t="s">
        <v>15</v>
      </c>
      <c r="H30" s="3" t="s">
        <v>128</v>
      </c>
      <c r="I30" s="3" t="s">
        <v>17</v>
      </c>
    </row>
    <row r="31" customFormat="false" ht="15" hidden="false" customHeight="true" outlineLevel="0" collapsed="false">
      <c r="A31" s="3" t="s">
        <v>129</v>
      </c>
      <c r="B31" s="3" t="s">
        <v>10</v>
      </c>
      <c r="C31" s="3" t="s">
        <v>11</v>
      </c>
      <c r="D31" s="3" t="s">
        <v>130</v>
      </c>
      <c r="E31" s="5" t="s">
        <v>34</v>
      </c>
      <c r="F31" s="3" t="s">
        <v>131</v>
      </c>
      <c r="G31" s="3" t="s">
        <v>15</v>
      </c>
      <c r="H31" s="3" t="s">
        <v>132</v>
      </c>
      <c r="I31" s="3" t="s">
        <v>17</v>
      </c>
    </row>
    <row r="32" customFormat="false" ht="15" hidden="false" customHeight="true" outlineLevel="0" collapsed="false">
      <c r="A32" s="3" t="s">
        <v>133</v>
      </c>
      <c r="B32" s="3" t="s">
        <v>10</v>
      </c>
      <c r="C32" s="3" t="s">
        <v>11</v>
      </c>
      <c r="D32" s="3" t="s">
        <v>134</v>
      </c>
      <c r="E32" s="5" t="s">
        <v>34</v>
      </c>
      <c r="F32" s="3" t="s">
        <v>135</v>
      </c>
      <c r="G32" s="3" t="s">
        <v>15</v>
      </c>
      <c r="H32" s="3" t="s">
        <v>136</v>
      </c>
      <c r="I32" s="3" t="s">
        <v>17</v>
      </c>
    </row>
    <row r="33" customFormat="false" ht="15" hidden="false" customHeight="true" outlineLevel="0" collapsed="false">
      <c r="A33" s="3" t="s">
        <v>137</v>
      </c>
      <c r="B33" s="3" t="s">
        <v>10</v>
      </c>
      <c r="C33" s="3" t="s">
        <v>11</v>
      </c>
      <c r="D33" s="3" t="s">
        <v>138</v>
      </c>
      <c r="E33" s="4" t="s">
        <v>13</v>
      </c>
      <c r="F33" s="3" t="s">
        <v>139</v>
      </c>
      <c r="G33" s="3" t="s">
        <v>15</v>
      </c>
      <c r="H33" s="3" t="s">
        <v>140</v>
      </c>
      <c r="I33" s="3" t="s">
        <v>17</v>
      </c>
    </row>
    <row r="34" customFormat="false" ht="15" hidden="false" customHeight="true" outlineLevel="0" collapsed="false">
      <c r="A34" s="3" t="s">
        <v>141</v>
      </c>
      <c r="B34" s="3" t="s">
        <v>10</v>
      </c>
      <c r="C34" s="3" t="s">
        <v>11</v>
      </c>
      <c r="D34" s="3" t="s">
        <v>142</v>
      </c>
      <c r="E34" s="5" t="s">
        <v>34</v>
      </c>
      <c r="F34" s="3" t="s">
        <v>143</v>
      </c>
      <c r="G34" s="3" t="s">
        <v>15</v>
      </c>
      <c r="H34" s="3" t="s">
        <v>144</v>
      </c>
      <c r="I34" s="3" t="s">
        <v>17</v>
      </c>
    </row>
    <row r="35" customFormat="false" ht="23.25" hidden="false" customHeight="true" outlineLevel="0" collapsed="false">
      <c r="A35" s="3" t="s">
        <v>145</v>
      </c>
      <c r="B35" s="3" t="s">
        <v>10</v>
      </c>
      <c r="C35" s="3" t="s">
        <v>11</v>
      </c>
      <c r="D35" s="3" t="s">
        <v>146</v>
      </c>
      <c r="E35" s="4" t="s">
        <v>13</v>
      </c>
      <c r="F35" s="3" t="s">
        <v>147</v>
      </c>
      <c r="G35" s="3" t="s">
        <v>15</v>
      </c>
      <c r="H35" s="3" t="s">
        <v>148</v>
      </c>
      <c r="I35" s="3" t="s">
        <v>17</v>
      </c>
    </row>
    <row r="36" customFormat="false" ht="15" hidden="false" customHeight="true" outlineLevel="0" collapsed="false">
      <c r="A36" s="3" t="s">
        <v>149</v>
      </c>
      <c r="B36" s="3" t="s">
        <v>10</v>
      </c>
      <c r="C36" s="3" t="s">
        <v>11</v>
      </c>
      <c r="D36" s="3" t="s">
        <v>150</v>
      </c>
      <c r="E36" s="4" t="s">
        <v>13</v>
      </c>
      <c r="F36" s="3" t="s">
        <v>151</v>
      </c>
      <c r="G36" s="3" t="s">
        <v>15</v>
      </c>
      <c r="H36" s="3" t="s">
        <v>152</v>
      </c>
      <c r="I36" s="3" t="s">
        <v>17</v>
      </c>
    </row>
    <row r="37" customFormat="false" ht="15" hidden="false" customHeight="true" outlineLevel="0" collapsed="false">
      <c r="A37" s="3" t="s">
        <v>153</v>
      </c>
      <c r="B37" s="3" t="s">
        <v>10</v>
      </c>
      <c r="C37" s="3" t="s">
        <v>11</v>
      </c>
      <c r="D37" s="3" t="s">
        <v>154</v>
      </c>
      <c r="E37" s="5" t="s">
        <v>34</v>
      </c>
      <c r="F37" s="3" t="s">
        <v>155</v>
      </c>
      <c r="G37" s="3" t="s">
        <v>15</v>
      </c>
      <c r="H37" s="3" t="s">
        <v>156</v>
      </c>
      <c r="I37" s="3" t="s">
        <v>17</v>
      </c>
    </row>
    <row r="38" customFormat="false" ht="15" hidden="false" customHeight="true" outlineLevel="0" collapsed="false">
      <c r="A38" s="3" t="s">
        <v>157</v>
      </c>
      <c r="B38" s="3" t="s">
        <v>10</v>
      </c>
      <c r="C38" s="3" t="s">
        <v>11</v>
      </c>
      <c r="D38" s="3" t="s">
        <v>158</v>
      </c>
      <c r="E38" s="5" t="s">
        <v>34</v>
      </c>
      <c r="F38" s="3" t="s">
        <v>159</v>
      </c>
      <c r="G38" s="3" t="s">
        <v>15</v>
      </c>
      <c r="H38" s="3" t="s">
        <v>160</v>
      </c>
      <c r="I38" s="3" t="s">
        <v>17</v>
      </c>
    </row>
    <row r="39" customFormat="false" ht="15" hidden="false" customHeight="true" outlineLevel="0" collapsed="false">
      <c r="A39" s="3" t="s">
        <v>161</v>
      </c>
      <c r="B39" s="3" t="s">
        <v>10</v>
      </c>
      <c r="C39" s="3" t="s">
        <v>11</v>
      </c>
      <c r="D39" s="3" t="s">
        <v>162</v>
      </c>
      <c r="E39" s="5" t="s">
        <v>34</v>
      </c>
      <c r="F39" s="3" t="s">
        <v>163</v>
      </c>
      <c r="G39" s="3" t="s">
        <v>15</v>
      </c>
      <c r="H39" s="3" t="s">
        <v>164</v>
      </c>
      <c r="I39" s="3" t="s">
        <v>17</v>
      </c>
    </row>
    <row r="40" customFormat="false" ht="15" hidden="false" customHeight="true" outlineLevel="0" collapsed="false">
      <c r="A40" s="3" t="s">
        <v>165</v>
      </c>
      <c r="B40" s="3" t="s">
        <v>10</v>
      </c>
      <c r="C40" s="3" t="s">
        <v>11</v>
      </c>
      <c r="D40" s="3" t="s">
        <v>166</v>
      </c>
      <c r="E40" s="4" t="s">
        <v>13</v>
      </c>
      <c r="F40" s="3" t="s">
        <v>167</v>
      </c>
      <c r="G40" s="3" t="s">
        <v>15</v>
      </c>
      <c r="H40" s="3" t="s">
        <v>168</v>
      </c>
      <c r="I40" s="3" t="s">
        <v>17</v>
      </c>
    </row>
    <row r="41" customFormat="false" ht="15" hidden="false" customHeight="true" outlineLevel="0" collapsed="false">
      <c r="A41" s="3" t="s">
        <v>169</v>
      </c>
      <c r="B41" s="3" t="s">
        <v>10</v>
      </c>
      <c r="C41" s="3" t="s">
        <v>11</v>
      </c>
      <c r="D41" s="3" t="s">
        <v>170</v>
      </c>
      <c r="E41" s="5" t="s">
        <v>34</v>
      </c>
      <c r="F41" s="3" t="s">
        <v>171</v>
      </c>
      <c r="G41" s="3" t="s">
        <v>15</v>
      </c>
      <c r="H41" s="3" t="s">
        <v>172</v>
      </c>
      <c r="I41" s="3" t="s">
        <v>17</v>
      </c>
    </row>
    <row r="42" customFormat="false" ht="15" hidden="false" customHeight="true" outlineLevel="0" collapsed="false">
      <c r="A42" s="3" t="s">
        <v>173</v>
      </c>
      <c r="B42" s="3" t="s">
        <v>10</v>
      </c>
      <c r="C42" s="3" t="s">
        <v>11</v>
      </c>
      <c r="D42" s="3" t="s">
        <v>174</v>
      </c>
      <c r="E42" s="5" t="s">
        <v>34</v>
      </c>
      <c r="F42" s="3" t="s">
        <v>175</v>
      </c>
      <c r="G42" s="3" t="s">
        <v>15</v>
      </c>
      <c r="H42" s="3" t="s">
        <v>176</v>
      </c>
      <c r="I42" s="3" t="s">
        <v>17</v>
      </c>
    </row>
    <row r="43" customFormat="false" ht="15" hidden="false" customHeight="true" outlineLevel="0" collapsed="false">
      <c r="A43" s="3" t="s">
        <v>177</v>
      </c>
      <c r="B43" s="3" t="s">
        <v>10</v>
      </c>
      <c r="C43" s="3" t="s">
        <v>11</v>
      </c>
      <c r="D43" s="3" t="s">
        <v>178</v>
      </c>
      <c r="E43" s="4" t="s">
        <v>13</v>
      </c>
      <c r="F43" s="3" t="s">
        <v>179</v>
      </c>
      <c r="G43" s="3" t="s">
        <v>15</v>
      </c>
      <c r="H43" s="3" t="s">
        <v>180</v>
      </c>
      <c r="I43" s="3" t="s">
        <v>17</v>
      </c>
    </row>
    <row r="44" customFormat="false" ht="15" hidden="false" customHeight="true" outlineLevel="0" collapsed="false">
      <c r="A44" s="3" t="s">
        <v>181</v>
      </c>
      <c r="B44" s="3" t="s">
        <v>10</v>
      </c>
      <c r="C44" s="3" t="s">
        <v>11</v>
      </c>
      <c r="D44" s="3" t="s">
        <v>182</v>
      </c>
      <c r="E44" s="5" t="s">
        <v>34</v>
      </c>
      <c r="F44" s="3" t="s">
        <v>183</v>
      </c>
      <c r="G44" s="3" t="s">
        <v>15</v>
      </c>
      <c r="H44" s="3" t="s">
        <v>184</v>
      </c>
      <c r="I44" s="3" t="s">
        <v>17</v>
      </c>
    </row>
    <row r="45" customFormat="false" ht="15" hidden="false" customHeight="true" outlineLevel="0" collapsed="false">
      <c r="A45" s="3" t="s">
        <v>185</v>
      </c>
      <c r="B45" s="3" t="s">
        <v>10</v>
      </c>
      <c r="C45" s="3" t="s">
        <v>11</v>
      </c>
      <c r="D45" s="3" t="s">
        <v>186</v>
      </c>
      <c r="E45" s="5" t="s">
        <v>34</v>
      </c>
      <c r="F45" s="3" t="s">
        <v>187</v>
      </c>
      <c r="G45" s="3" t="s">
        <v>15</v>
      </c>
      <c r="H45" s="3" t="s">
        <v>188</v>
      </c>
      <c r="I45" s="3" t="s">
        <v>17</v>
      </c>
    </row>
    <row r="46" customFormat="false" ht="15" hidden="false" customHeight="true" outlineLevel="0" collapsed="false">
      <c r="A46" s="3" t="s">
        <v>189</v>
      </c>
      <c r="B46" s="3" t="s">
        <v>10</v>
      </c>
      <c r="C46" s="3" t="s">
        <v>11</v>
      </c>
      <c r="D46" s="3" t="s">
        <v>190</v>
      </c>
      <c r="E46" s="4" t="s">
        <v>13</v>
      </c>
      <c r="F46" s="3" t="s">
        <v>191</v>
      </c>
      <c r="G46" s="3" t="s">
        <v>15</v>
      </c>
      <c r="H46" s="3" t="s">
        <v>192</v>
      </c>
      <c r="I46" s="3" t="s">
        <v>17</v>
      </c>
    </row>
    <row r="47" customFormat="false" ht="15" hidden="false" customHeight="true" outlineLevel="0" collapsed="false">
      <c r="A47" s="3" t="s">
        <v>193</v>
      </c>
      <c r="B47" s="3" t="s">
        <v>10</v>
      </c>
      <c r="C47" s="3" t="s">
        <v>11</v>
      </c>
      <c r="D47" s="3" t="s">
        <v>194</v>
      </c>
      <c r="E47" s="5" t="s">
        <v>34</v>
      </c>
      <c r="F47" s="3" t="s">
        <v>195</v>
      </c>
      <c r="G47" s="3" t="s">
        <v>15</v>
      </c>
      <c r="H47" s="3" t="s">
        <v>196</v>
      </c>
      <c r="I47" s="3" t="s">
        <v>17</v>
      </c>
    </row>
    <row r="48" customFormat="false" ht="23.25" hidden="false" customHeight="true" outlineLevel="0" collapsed="false">
      <c r="A48" s="3" t="s">
        <v>197</v>
      </c>
      <c r="B48" s="3" t="s">
        <v>10</v>
      </c>
      <c r="C48" s="3" t="s">
        <v>11</v>
      </c>
      <c r="D48" s="3" t="s">
        <v>198</v>
      </c>
      <c r="E48" s="4" t="s">
        <v>13</v>
      </c>
      <c r="F48" s="3" t="s">
        <v>199</v>
      </c>
      <c r="G48" s="3" t="s">
        <v>15</v>
      </c>
      <c r="H48" s="3" t="s">
        <v>200</v>
      </c>
      <c r="I48" s="3" t="s">
        <v>17</v>
      </c>
    </row>
    <row r="49" customFormat="false" ht="15" hidden="false" customHeight="true" outlineLevel="0" collapsed="false">
      <c r="A49" s="3" t="s">
        <v>201</v>
      </c>
      <c r="B49" s="3" t="s">
        <v>10</v>
      </c>
      <c r="C49" s="3" t="s">
        <v>11</v>
      </c>
      <c r="D49" s="3" t="s">
        <v>202</v>
      </c>
      <c r="E49" s="4" t="s">
        <v>13</v>
      </c>
      <c r="F49" s="3" t="s">
        <v>203</v>
      </c>
      <c r="G49" s="3" t="s">
        <v>15</v>
      </c>
      <c r="H49" s="3" t="s">
        <v>204</v>
      </c>
      <c r="I49" s="3" t="s">
        <v>17</v>
      </c>
    </row>
    <row r="50" customFormat="false" ht="15" hidden="false" customHeight="true" outlineLevel="0" collapsed="false">
      <c r="A50" s="3" t="s">
        <v>205</v>
      </c>
      <c r="B50" s="3" t="s">
        <v>10</v>
      </c>
      <c r="C50" s="3" t="s">
        <v>11</v>
      </c>
      <c r="D50" s="3" t="s">
        <v>206</v>
      </c>
      <c r="E50" s="5" t="s">
        <v>34</v>
      </c>
      <c r="F50" s="3" t="s">
        <v>207</v>
      </c>
      <c r="G50" s="3" t="s">
        <v>15</v>
      </c>
      <c r="H50" s="3" t="s">
        <v>208</v>
      </c>
      <c r="I50" s="3" t="s">
        <v>17</v>
      </c>
    </row>
    <row r="51" customFormat="false" ht="15" hidden="false" customHeight="true" outlineLevel="0" collapsed="false">
      <c r="A51" s="3" t="s">
        <v>209</v>
      </c>
      <c r="B51" s="3" t="s">
        <v>10</v>
      </c>
      <c r="C51" s="3" t="s">
        <v>11</v>
      </c>
      <c r="D51" s="3" t="s">
        <v>210</v>
      </c>
      <c r="E51" s="5" t="s">
        <v>34</v>
      </c>
      <c r="F51" s="3" t="s">
        <v>211</v>
      </c>
      <c r="G51" s="3" t="s">
        <v>15</v>
      </c>
      <c r="H51" s="3" t="s">
        <v>212</v>
      </c>
      <c r="I51" s="3" t="s">
        <v>17</v>
      </c>
    </row>
    <row r="52" customFormat="false" ht="15" hidden="false" customHeight="true" outlineLevel="0" collapsed="false">
      <c r="A52" s="3" t="s">
        <v>213</v>
      </c>
      <c r="B52" s="3" t="s">
        <v>10</v>
      </c>
      <c r="C52" s="3" t="s">
        <v>11</v>
      </c>
      <c r="D52" s="3" t="s">
        <v>214</v>
      </c>
      <c r="E52" s="5" t="s">
        <v>34</v>
      </c>
      <c r="F52" s="3" t="s">
        <v>215</v>
      </c>
      <c r="G52" s="3" t="s">
        <v>15</v>
      </c>
      <c r="H52" s="3" t="s">
        <v>216</v>
      </c>
      <c r="I52" s="3" t="s">
        <v>17</v>
      </c>
    </row>
    <row r="53" customFormat="false" ht="15" hidden="false" customHeight="true" outlineLevel="0" collapsed="false">
      <c r="A53" s="3" t="s">
        <v>217</v>
      </c>
      <c r="B53" s="3" t="s">
        <v>10</v>
      </c>
      <c r="C53" s="3" t="s">
        <v>11</v>
      </c>
      <c r="D53" s="3" t="s">
        <v>218</v>
      </c>
      <c r="E53" s="5" t="s">
        <v>34</v>
      </c>
      <c r="F53" s="3" t="s">
        <v>219</v>
      </c>
      <c r="G53" s="3" t="s">
        <v>15</v>
      </c>
      <c r="H53" s="3" t="s">
        <v>220</v>
      </c>
      <c r="I53" s="3" t="s">
        <v>17</v>
      </c>
    </row>
    <row r="54" customFormat="false" ht="23.25" hidden="false" customHeight="true" outlineLevel="0" collapsed="false">
      <c r="A54" s="3" t="s">
        <v>221</v>
      </c>
      <c r="B54" s="3" t="s">
        <v>10</v>
      </c>
      <c r="C54" s="3" t="s">
        <v>11</v>
      </c>
      <c r="D54" s="3" t="s">
        <v>222</v>
      </c>
      <c r="E54" s="4" t="s">
        <v>13</v>
      </c>
      <c r="F54" s="3" t="s">
        <v>223</v>
      </c>
      <c r="G54" s="3" t="s">
        <v>15</v>
      </c>
      <c r="H54" s="3" t="s">
        <v>224</v>
      </c>
      <c r="I54" s="3" t="s">
        <v>17</v>
      </c>
    </row>
    <row r="55" customFormat="false" ht="15" hidden="false" customHeight="true" outlineLevel="0" collapsed="false">
      <c r="A55" s="3" t="s">
        <v>225</v>
      </c>
      <c r="B55" s="3" t="s">
        <v>10</v>
      </c>
      <c r="C55" s="3" t="s">
        <v>11</v>
      </c>
      <c r="D55" s="3" t="s">
        <v>226</v>
      </c>
      <c r="E55" s="5" t="s">
        <v>34</v>
      </c>
      <c r="F55" s="3" t="s">
        <v>227</v>
      </c>
      <c r="G55" s="3" t="s">
        <v>15</v>
      </c>
      <c r="H55" s="3" t="s">
        <v>228</v>
      </c>
      <c r="I55" s="3" t="s">
        <v>17</v>
      </c>
    </row>
    <row r="56" customFormat="false" ht="15" hidden="false" customHeight="true" outlineLevel="0" collapsed="false">
      <c r="A56" s="3" t="s">
        <v>229</v>
      </c>
      <c r="B56" s="3" t="s">
        <v>10</v>
      </c>
      <c r="C56" s="3" t="s">
        <v>11</v>
      </c>
      <c r="D56" s="3" t="s">
        <v>230</v>
      </c>
      <c r="E56" s="5" t="s">
        <v>34</v>
      </c>
      <c r="F56" s="3" t="s">
        <v>231</v>
      </c>
      <c r="G56" s="3" t="s">
        <v>15</v>
      </c>
      <c r="H56" s="3" t="s">
        <v>232</v>
      </c>
      <c r="I56" s="3" t="s">
        <v>17</v>
      </c>
    </row>
    <row r="57" customFormat="false" ht="23.25" hidden="false" customHeight="true" outlineLevel="0" collapsed="false">
      <c r="A57" s="3" t="s">
        <v>233</v>
      </c>
      <c r="B57" s="3" t="s">
        <v>10</v>
      </c>
      <c r="C57" s="3" t="s">
        <v>11</v>
      </c>
      <c r="D57" s="3" t="s">
        <v>234</v>
      </c>
      <c r="E57" s="4" t="s">
        <v>13</v>
      </c>
      <c r="F57" s="3" t="s">
        <v>235</v>
      </c>
      <c r="G57" s="3" t="s">
        <v>15</v>
      </c>
      <c r="H57" s="3" t="s">
        <v>236</v>
      </c>
      <c r="I57" s="3" t="s">
        <v>17</v>
      </c>
    </row>
    <row r="58" customFormat="false" ht="15" hidden="false" customHeight="true" outlineLevel="0" collapsed="false">
      <c r="A58" s="3" t="s">
        <v>237</v>
      </c>
      <c r="B58" s="3" t="s">
        <v>10</v>
      </c>
      <c r="C58" s="3" t="s">
        <v>11</v>
      </c>
      <c r="D58" s="3" t="s">
        <v>238</v>
      </c>
      <c r="E58" s="4" t="s">
        <v>13</v>
      </c>
      <c r="F58" s="3" t="s">
        <v>239</v>
      </c>
      <c r="G58" s="3" t="s">
        <v>15</v>
      </c>
      <c r="H58" s="3" t="s">
        <v>240</v>
      </c>
      <c r="I58" s="3" t="s">
        <v>17</v>
      </c>
    </row>
    <row r="59" customFormat="false" ht="15" hidden="false" customHeight="true" outlineLevel="0" collapsed="false">
      <c r="A59" s="3" t="s">
        <v>241</v>
      </c>
      <c r="B59" s="3" t="s">
        <v>10</v>
      </c>
      <c r="C59" s="3" t="s">
        <v>11</v>
      </c>
      <c r="D59" s="3" t="s">
        <v>242</v>
      </c>
      <c r="E59" s="4" t="s">
        <v>13</v>
      </c>
      <c r="F59" s="3" t="s">
        <v>243</v>
      </c>
      <c r="G59" s="3" t="s">
        <v>15</v>
      </c>
      <c r="H59" s="3" t="s">
        <v>244</v>
      </c>
      <c r="I59" s="3" t="s">
        <v>17</v>
      </c>
    </row>
    <row r="60" customFormat="false" ht="15" hidden="false" customHeight="true" outlineLevel="0" collapsed="false">
      <c r="A60" s="3" t="s">
        <v>245</v>
      </c>
      <c r="B60" s="3" t="s">
        <v>10</v>
      </c>
      <c r="C60" s="3" t="s">
        <v>11</v>
      </c>
      <c r="D60" s="3" t="s">
        <v>246</v>
      </c>
      <c r="E60" s="5" t="s">
        <v>34</v>
      </c>
      <c r="F60" s="3" t="s">
        <v>247</v>
      </c>
      <c r="G60" s="3" t="s">
        <v>15</v>
      </c>
      <c r="H60" s="3" t="s">
        <v>248</v>
      </c>
      <c r="I60" s="3" t="s">
        <v>17</v>
      </c>
    </row>
    <row r="61" customFormat="false" ht="15" hidden="false" customHeight="true" outlineLevel="0" collapsed="false">
      <c r="A61" s="3" t="s">
        <v>249</v>
      </c>
      <c r="B61" s="3" t="s">
        <v>10</v>
      </c>
      <c r="C61" s="3" t="s">
        <v>11</v>
      </c>
      <c r="D61" s="3" t="s">
        <v>250</v>
      </c>
      <c r="E61" s="4" t="s">
        <v>13</v>
      </c>
      <c r="F61" s="3" t="s">
        <v>251</v>
      </c>
      <c r="G61" s="3" t="s">
        <v>15</v>
      </c>
      <c r="H61" s="3" t="s">
        <v>252</v>
      </c>
      <c r="I61" s="3" t="s">
        <v>17</v>
      </c>
    </row>
    <row r="62" customFormat="false" ht="15" hidden="false" customHeight="true" outlineLevel="0" collapsed="false">
      <c r="A62" s="3" t="s">
        <v>253</v>
      </c>
      <c r="B62" s="3" t="s">
        <v>10</v>
      </c>
      <c r="C62" s="3" t="s">
        <v>11</v>
      </c>
      <c r="D62" s="3" t="s">
        <v>254</v>
      </c>
      <c r="E62" s="5" t="s">
        <v>34</v>
      </c>
      <c r="F62" s="3" t="s">
        <v>255</v>
      </c>
      <c r="G62" s="3" t="s">
        <v>15</v>
      </c>
      <c r="H62" s="3" t="s">
        <v>256</v>
      </c>
      <c r="I62" s="3" t="s">
        <v>17</v>
      </c>
    </row>
    <row r="63" customFormat="false" ht="15" hidden="false" customHeight="true" outlineLevel="0" collapsed="false">
      <c r="A63" s="3" t="s">
        <v>257</v>
      </c>
      <c r="B63" s="3" t="s">
        <v>10</v>
      </c>
      <c r="C63" s="3" t="s">
        <v>11</v>
      </c>
      <c r="D63" s="3" t="s">
        <v>258</v>
      </c>
      <c r="E63" s="5" t="s">
        <v>34</v>
      </c>
      <c r="F63" s="3" t="s">
        <v>259</v>
      </c>
      <c r="G63" s="3" t="s">
        <v>15</v>
      </c>
      <c r="H63" s="3" t="s">
        <v>260</v>
      </c>
      <c r="I63" s="3" t="s">
        <v>17</v>
      </c>
    </row>
    <row r="64" customFormat="false" ht="15" hidden="false" customHeight="true" outlineLevel="0" collapsed="false">
      <c r="A64" s="3" t="s">
        <v>261</v>
      </c>
      <c r="B64" s="3" t="s">
        <v>10</v>
      </c>
      <c r="C64" s="3" t="s">
        <v>11</v>
      </c>
      <c r="D64" s="3" t="s">
        <v>262</v>
      </c>
      <c r="E64" s="5" t="s">
        <v>34</v>
      </c>
      <c r="F64" s="3" t="s">
        <v>263</v>
      </c>
      <c r="G64" s="3" t="s">
        <v>15</v>
      </c>
      <c r="H64" s="3" t="s">
        <v>264</v>
      </c>
      <c r="I64" s="3" t="s">
        <v>17</v>
      </c>
    </row>
    <row r="65" customFormat="false" ht="15" hidden="false" customHeight="true" outlineLevel="0" collapsed="false">
      <c r="A65" s="3" t="s">
        <v>265</v>
      </c>
      <c r="B65" s="3" t="s">
        <v>10</v>
      </c>
      <c r="C65" s="3" t="s">
        <v>11</v>
      </c>
      <c r="D65" s="3" t="s">
        <v>266</v>
      </c>
      <c r="E65" s="5" t="s">
        <v>34</v>
      </c>
      <c r="F65" s="3" t="s">
        <v>267</v>
      </c>
      <c r="G65" s="3" t="s">
        <v>15</v>
      </c>
      <c r="H65" s="3" t="s">
        <v>268</v>
      </c>
      <c r="I65" s="3" t="s">
        <v>17</v>
      </c>
    </row>
    <row r="66" customFormat="false" ht="15" hidden="false" customHeight="true" outlineLevel="0" collapsed="false">
      <c r="A66" s="3" t="s">
        <v>269</v>
      </c>
      <c r="B66" s="3" t="s">
        <v>10</v>
      </c>
      <c r="C66" s="3" t="s">
        <v>11</v>
      </c>
      <c r="D66" s="3" t="s">
        <v>270</v>
      </c>
      <c r="E66" s="4" t="s">
        <v>13</v>
      </c>
      <c r="F66" s="3" t="s">
        <v>271</v>
      </c>
      <c r="G66" s="3" t="s">
        <v>15</v>
      </c>
      <c r="H66" s="3" t="s">
        <v>272</v>
      </c>
      <c r="I66" s="3" t="s">
        <v>17</v>
      </c>
    </row>
    <row r="67" customFormat="false" ht="15" hidden="false" customHeight="true" outlineLevel="0" collapsed="false">
      <c r="A67" s="3" t="s">
        <v>273</v>
      </c>
      <c r="B67" s="3" t="s">
        <v>10</v>
      </c>
      <c r="C67" s="3" t="s">
        <v>11</v>
      </c>
      <c r="D67" s="3" t="s">
        <v>274</v>
      </c>
      <c r="E67" s="5" t="s">
        <v>34</v>
      </c>
      <c r="F67" s="3" t="s">
        <v>275</v>
      </c>
      <c r="G67" s="3" t="s">
        <v>15</v>
      </c>
      <c r="H67" s="3" t="s">
        <v>276</v>
      </c>
      <c r="I67" s="3" t="s">
        <v>17</v>
      </c>
    </row>
    <row r="68" customFormat="false" ht="15" hidden="false" customHeight="true" outlineLevel="0" collapsed="false">
      <c r="A68" s="3" t="s">
        <v>277</v>
      </c>
      <c r="B68" s="3" t="s">
        <v>10</v>
      </c>
      <c r="C68" s="3" t="s">
        <v>11</v>
      </c>
      <c r="D68" s="3" t="s">
        <v>278</v>
      </c>
      <c r="E68" s="4" t="s">
        <v>13</v>
      </c>
      <c r="F68" s="3" t="s">
        <v>279</v>
      </c>
      <c r="G68" s="3" t="s">
        <v>15</v>
      </c>
      <c r="H68" s="3" t="s">
        <v>280</v>
      </c>
      <c r="I68" s="3" t="s">
        <v>17</v>
      </c>
    </row>
    <row r="69" customFormat="false" ht="15" hidden="false" customHeight="true" outlineLevel="0" collapsed="false">
      <c r="A69" s="3" t="s">
        <v>281</v>
      </c>
      <c r="B69" s="3" t="s">
        <v>10</v>
      </c>
      <c r="C69" s="3" t="s">
        <v>11</v>
      </c>
      <c r="D69" s="3" t="s">
        <v>282</v>
      </c>
      <c r="E69" s="5" t="s">
        <v>34</v>
      </c>
      <c r="F69" s="3" t="s">
        <v>283</v>
      </c>
      <c r="G69" s="3" t="s">
        <v>15</v>
      </c>
      <c r="H69" s="3" t="s">
        <v>284</v>
      </c>
      <c r="I69" s="3" t="s">
        <v>17</v>
      </c>
    </row>
    <row r="70" customFormat="false" ht="15" hidden="false" customHeight="true" outlineLevel="0" collapsed="false">
      <c r="A70" s="3" t="s">
        <v>285</v>
      </c>
      <c r="B70" s="3" t="s">
        <v>10</v>
      </c>
      <c r="C70" s="3" t="s">
        <v>11</v>
      </c>
      <c r="D70" s="3" t="s">
        <v>286</v>
      </c>
      <c r="E70" s="5" t="s">
        <v>34</v>
      </c>
      <c r="F70" s="3" t="s">
        <v>287</v>
      </c>
      <c r="G70" s="3" t="s">
        <v>15</v>
      </c>
      <c r="H70" s="3" t="s">
        <v>288</v>
      </c>
      <c r="I70" s="3" t="s">
        <v>17</v>
      </c>
    </row>
    <row r="71" customFormat="false" ht="15" hidden="false" customHeight="true" outlineLevel="0" collapsed="false">
      <c r="A71" s="3" t="s">
        <v>289</v>
      </c>
      <c r="B71" s="3" t="s">
        <v>10</v>
      </c>
      <c r="C71" s="3" t="s">
        <v>11</v>
      </c>
      <c r="D71" s="3" t="s">
        <v>290</v>
      </c>
      <c r="E71" s="5" t="s">
        <v>34</v>
      </c>
      <c r="F71" s="3" t="s">
        <v>291</v>
      </c>
      <c r="G71" s="3" t="s">
        <v>15</v>
      </c>
      <c r="H71" s="3" t="s">
        <v>292</v>
      </c>
      <c r="I71" s="3" t="s">
        <v>17</v>
      </c>
    </row>
    <row r="72" customFormat="false" ht="15" hidden="false" customHeight="true" outlineLevel="0" collapsed="false">
      <c r="A72" s="3" t="s">
        <v>293</v>
      </c>
      <c r="B72" s="3" t="s">
        <v>10</v>
      </c>
      <c r="C72" s="3" t="s">
        <v>11</v>
      </c>
      <c r="D72" s="3" t="s">
        <v>294</v>
      </c>
      <c r="E72" s="5" t="s">
        <v>34</v>
      </c>
      <c r="F72" s="3" t="s">
        <v>295</v>
      </c>
      <c r="G72" s="3" t="s">
        <v>15</v>
      </c>
      <c r="H72" s="3" t="s">
        <v>296</v>
      </c>
      <c r="I72" s="3" t="s">
        <v>17</v>
      </c>
    </row>
    <row r="73" customFormat="false" ht="15" hidden="false" customHeight="true" outlineLevel="0" collapsed="false">
      <c r="A73" s="3" t="s">
        <v>297</v>
      </c>
      <c r="B73" s="3" t="s">
        <v>10</v>
      </c>
      <c r="C73" s="3" t="s">
        <v>11</v>
      </c>
      <c r="D73" s="3" t="s">
        <v>298</v>
      </c>
      <c r="E73" s="5" t="s">
        <v>34</v>
      </c>
      <c r="F73" s="3" t="s">
        <v>299</v>
      </c>
      <c r="G73" s="3" t="s">
        <v>15</v>
      </c>
      <c r="H73" s="3" t="s">
        <v>300</v>
      </c>
      <c r="I73" s="3" t="s">
        <v>17</v>
      </c>
    </row>
    <row r="74" customFormat="false" ht="15" hidden="false" customHeight="true" outlineLevel="0" collapsed="false">
      <c r="A74" s="3" t="s">
        <v>301</v>
      </c>
      <c r="B74" s="3" t="s">
        <v>10</v>
      </c>
      <c r="C74" s="3" t="s">
        <v>11</v>
      </c>
      <c r="D74" s="3" t="s">
        <v>302</v>
      </c>
      <c r="E74" s="5" t="s">
        <v>34</v>
      </c>
      <c r="F74" s="3" t="s">
        <v>303</v>
      </c>
      <c r="G74" s="3" t="s">
        <v>15</v>
      </c>
      <c r="H74" s="3" t="s">
        <v>304</v>
      </c>
      <c r="I74" s="3" t="s">
        <v>17</v>
      </c>
    </row>
    <row r="75" customFormat="false" ht="15" hidden="false" customHeight="true" outlineLevel="0" collapsed="false">
      <c r="A75" s="3" t="s">
        <v>305</v>
      </c>
      <c r="B75" s="3" t="s">
        <v>10</v>
      </c>
      <c r="C75" s="3" t="s">
        <v>11</v>
      </c>
      <c r="D75" s="3" t="s">
        <v>306</v>
      </c>
      <c r="E75" s="4" t="s">
        <v>13</v>
      </c>
      <c r="F75" s="3" t="s">
        <v>307</v>
      </c>
      <c r="G75" s="3" t="s">
        <v>15</v>
      </c>
      <c r="H75" s="3" t="s">
        <v>308</v>
      </c>
      <c r="I75" s="3" t="s">
        <v>17</v>
      </c>
    </row>
    <row r="76" customFormat="false" ht="15" hidden="false" customHeight="true" outlineLevel="0" collapsed="false">
      <c r="A76" s="3" t="s">
        <v>309</v>
      </c>
      <c r="B76" s="3" t="s">
        <v>10</v>
      </c>
      <c r="C76" s="3" t="s">
        <v>11</v>
      </c>
      <c r="D76" s="3" t="s">
        <v>310</v>
      </c>
      <c r="E76" s="5" t="s">
        <v>34</v>
      </c>
      <c r="F76" s="3" t="s">
        <v>311</v>
      </c>
      <c r="G76" s="3" t="s">
        <v>15</v>
      </c>
      <c r="H76" s="3" t="s">
        <v>312</v>
      </c>
      <c r="I76" s="3" t="s">
        <v>17</v>
      </c>
    </row>
    <row r="77" customFormat="false" ht="15" hidden="false" customHeight="true" outlineLevel="0" collapsed="false">
      <c r="A77" s="3" t="s">
        <v>313</v>
      </c>
      <c r="B77" s="3" t="s">
        <v>10</v>
      </c>
      <c r="C77" s="3" t="s">
        <v>11</v>
      </c>
      <c r="D77" s="3" t="s">
        <v>314</v>
      </c>
      <c r="E77" s="5" t="s">
        <v>34</v>
      </c>
      <c r="F77" s="3" t="s">
        <v>315</v>
      </c>
      <c r="G77" s="3" t="s">
        <v>15</v>
      </c>
      <c r="H77" s="3" t="s">
        <v>316</v>
      </c>
      <c r="I77" s="3" t="s">
        <v>17</v>
      </c>
    </row>
    <row r="78" customFormat="false" ht="15" hidden="false" customHeight="true" outlineLevel="0" collapsed="false">
      <c r="A78" s="3" t="s">
        <v>317</v>
      </c>
      <c r="B78" s="3" t="s">
        <v>10</v>
      </c>
      <c r="C78" s="3" t="s">
        <v>11</v>
      </c>
      <c r="D78" s="3" t="s">
        <v>318</v>
      </c>
      <c r="E78" s="5" t="s">
        <v>34</v>
      </c>
      <c r="F78" s="3" t="s">
        <v>319</v>
      </c>
      <c r="G78" s="3" t="s">
        <v>15</v>
      </c>
      <c r="H78" s="3" t="s">
        <v>320</v>
      </c>
      <c r="I78" s="3" t="s">
        <v>17</v>
      </c>
    </row>
    <row r="79" customFormat="false" ht="15" hidden="false" customHeight="true" outlineLevel="0" collapsed="false">
      <c r="A79" s="3" t="s">
        <v>321</v>
      </c>
      <c r="B79" s="3" t="s">
        <v>10</v>
      </c>
      <c r="C79" s="3" t="s">
        <v>11</v>
      </c>
      <c r="D79" s="3" t="s">
        <v>322</v>
      </c>
      <c r="E79" s="5" t="s">
        <v>34</v>
      </c>
      <c r="F79" s="3" t="s">
        <v>239</v>
      </c>
      <c r="G79" s="3" t="s">
        <v>15</v>
      </c>
      <c r="H79" s="3" t="s">
        <v>323</v>
      </c>
      <c r="I79" s="3" t="s">
        <v>17</v>
      </c>
    </row>
    <row r="80" customFormat="false" ht="15" hidden="false" customHeight="true" outlineLevel="0" collapsed="false">
      <c r="A80" s="3" t="s">
        <v>324</v>
      </c>
      <c r="B80" s="3" t="s">
        <v>10</v>
      </c>
      <c r="C80" s="3" t="s">
        <v>11</v>
      </c>
      <c r="D80" s="3" t="s">
        <v>325</v>
      </c>
      <c r="E80" s="4" t="s">
        <v>13</v>
      </c>
      <c r="F80" s="3" t="s">
        <v>326</v>
      </c>
      <c r="G80" s="3" t="s">
        <v>15</v>
      </c>
      <c r="H80" s="3" t="s">
        <v>327</v>
      </c>
      <c r="I80" s="3" t="s">
        <v>17</v>
      </c>
    </row>
    <row r="81" customFormat="false" ht="15" hidden="false" customHeight="true" outlineLevel="0" collapsed="false">
      <c r="A81" s="3" t="s">
        <v>328</v>
      </c>
      <c r="B81" s="3" t="s">
        <v>10</v>
      </c>
      <c r="C81" s="3" t="s">
        <v>11</v>
      </c>
      <c r="D81" s="3" t="s">
        <v>329</v>
      </c>
      <c r="E81" s="4" t="s">
        <v>13</v>
      </c>
      <c r="F81" s="3" t="s">
        <v>20</v>
      </c>
      <c r="G81" s="3" t="s">
        <v>15</v>
      </c>
      <c r="H81" s="3" t="s">
        <v>330</v>
      </c>
      <c r="I81" s="3" t="s">
        <v>17</v>
      </c>
    </row>
    <row r="82" customFormat="false" ht="15" hidden="false" customHeight="true" outlineLevel="0" collapsed="false">
      <c r="A82" s="3" t="s">
        <v>331</v>
      </c>
      <c r="B82" s="3" t="s">
        <v>10</v>
      </c>
      <c r="C82" s="3" t="s">
        <v>11</v>
      </c>
      <c r="D82" s="3" t="s">
        <v>332</v>
      </c>
      <c r="E82" s="5" t="s">
        <v>34</v>
      </c>
      <c r="F82" s="3" t="s">
        <v>333</v>
      </c>
      <c r="G82" s="3" t="s">
        <v>15</v>
      </c>
      <c r="H82" s="3" t="s">
        <v>334</v>
      </c>
      <c r="I82" s="3" t="s">
        <v>17</v>
      </c>
    </row>
    <row r="83" customFormat="false" ht="15" hidden="false" customHeight="true" outlineLevel="0" collapsed="false">
      <c r="A83" s="3" t="s">
        <v>335</v>
      </c>
      <c r="B83" s="3" t="s">
        <v>10</v>
      </c>
      <c r="C83" s="3" t="s">
        <v>11</v>
      </c>
      <c r="D83" s="3" t="s">
        <v>336</v>
      </c>
      <c r="E83" s="5" t="s">
        <v>34</v>
      </c>
      <c r="F83" s="3" t="s">
        <v>337</v>
      </c>
      <c r="G83" s="3" t="s">
        <v>15</v>
      </c>
      <c r="H83" s="3" t="s">
        <v>338</v>
      </c>
      <c r="I83" s="3" t="s">
        <v>17</v>
      </c>
    </row>
    <row r="84" customFormat="false" ht="15" hidden="false" customHeight="true" outlineLevel="0" collapsed="false">
      <c r="A84" s="3" t="s">
        <v>339</v>
      </c>
      <c r="B84" s="3" t="s">
        <v>10</v>
      </c>
      <c r="C84" s="3" t="s">
        <v>11</v>
      </c>
      <c r="D84" s="3" t="s">
        <v>340</v>
      </c>
      <c r="E84" s="5" t="s">
        <v>34</v>
      </c>
      <c r="F84" s="3" t="s">
        <v>341</v>
      </c>
      <c r="G84" s="3" t="s">
        <v>15</v>
      </c>
      <c r="H84" s="3" t="s">
        <v>342</v>
      </c>
      <c r="I84" s="3" t="s">
        <v>17</v>
      </c>
    </row>
    <row r="85" customFormat="false" ht="15" hidden="false" customHeight="true" outlineLevel="0" collapsed="false">
      <c r="A85" s="3" t="s">
        <v>343</v>
      </c>
      <c r="B85" s="3" t="s">
        <v>10</v>
      </c>
      <c r="C85" s="3" t="s">
        <v>11</v>
      </c>
      <c r="D85" s="3" t="s">
        <v>344</v>
      </c>
      <c r="E85" s="5" t="s">
        <v>34</v>
      </c>
      <c r="F85" s="3" t="s">
        <v>345</v>
      </c>
      <c r="G85" s="3" t="s">
        <v>15</v>
      </c>
      <c r="H85" s="3" t="s">
        <v>346</v>
      </c>
      <c r="I85" s="3" t="s">
        <v>17</v>
      </c>
    </row>
    <row r="86" customFormat="false" ht="23.85" hidden="false" customHeight="false" outlineLevel="0" collapsed="false">
      <c r="A86" s="3" t="s">
        <v>347</v>
      </c>
      <c r="B86" s="3" t="s">
        <v>10</v>
      </c>
      <c r="C86" s="3" t="s">
        <v>11</v>
      </c>
      <c r="D86" s="3" t="s">
        <v>348</v>
      </c>
      <c r="E86" s="5" t="s">
        <v>34</v>
      </c>
      <c r="F86" s="3" t="s">
        <v>349</v>
      </c>
      <c r="G86" s="3" t="s">
        <v>15</v>
      </c>
      <c r="H86" s="3" t="s">
        <v>350</v>
      </c>
      <c r="I86" s="3" t="s">
        <v>17</v>
      </c>
    </row>
    <row r="87" customFormat="false" ht="15" hidden="false" customHeight="false" outlineLevel="0" collapsed="false">
      <c r="A87" s="3" t="s">
        <v>351</v>
      </c>
      <c r="B87" s="3" t="s">
        <v>10</v>
      </c>
      <c r="C87" s="3" t="s">
        <v>11</v>
      </c>
      <c r="D87" s="3" t="s">
        <v>352</v>
      </c>
      <c r="E87" s="5" t="s">
        <v>34</v>
      </c>
      <c r="F87" s="3" t="s">
        <v>353</v>
      </c>
      <c r="G87" s="3" t="s">
        <v>15</v>
      </c>
      <c r="H87" s="3" t="s">
        <v>354</v>
      </c>
      <c r="I87" s="3" t="s">
        <v>17</v>
      </c>
    </row>
    <row r="88" customFormat="false" ht="15" hidden="false" customHeight="false" outlineLevel="0" collapsed="false">
      <c r="A88" s="3" t="s">
        <v>355</v>
      </c>
      <c r="B88" s="3" t="s">
        <v>10</v>
      </c>
      <c r="C88" s="3" t="s">
        <v>11</v>
      </c>
      <c r="D88" s="3" t="s">
        <v>356</v>
      </c>
      <c r="E88" s="5" t="s">
        <v>34</v>
      </c>
      <c r="F88" s="3" t="s">
        <v>357</v>
      </c>
      <c r="G88" s="3" t="s">
        <v>15</v>
      </c>
      <c r="H88" s="3" t="s">
        <v>358</v>
      </c>
      <c r="I88" s="3" t="s">
        <v>17</v>
      </c>
    </row>
    <row r="89" customFormat="false" ht="15" hidden="false" customHeight="false" outlineLevel="0" collapsed="false">
      <c r="A89" s="3" t="s">
        <v>359</v>
      </c>
      <c r="B89" s="3" t="s">
        <v>10</v>
      </c>
      <c r="C89" s="3" t="s">
        <v>11</v>
      </c>
      <c r="D89" s="3" t="s">
        <v>360</v>
      </c>
      <c r="E89" s="5" t="s">
        <v>34</v>
      </c>
      <c r="F89" s="3" t="s">
        <v>361</v>
      </c>
      <c r="G89" s="3" t="s">
        <v>15</v>
      </c>
      <c r="H89" s="3" t="s">
        <v>362</v>
      </c>
      <c r="I89" s="3" t="s">
        <v>17</v>
      </c>
    </row>
    <row r="90" customFormat="false" ht="15" hidden="false" customHeight="false" outlineLevel="0" collapsed="false">
      <c r="A90" s="3" t="s">
        <v>363</v>
      </c>
      <c r="B90" s="3" t="s">
        <v>10</v>
      </c>
      <c r="C90" s="3" t="s">
        <v>11</v>
      </c>
      <c r="D90" s="3" t="s">
        <v>364</v>
      </c>
      <c r="E90" s="5" t="s">
        <v>34</v>
      </c>
      <c r="F90" s="3" t="s">
        <v>365</v>
      </c>
      <c r="G90" s="3" t="s">
        <v>15</v>
      </c>
      <c r="H90" s="3" t="s">
        <v>366</v>
      </c>
      <c r="I90" s="3" t="s">
        <v>17</v>
      </c>
    </row>
    <row r="91" customFormat="false" ht="15" hidden="false" customHeight="false" outlineLevel="0" collapsed="false">
      <c r="A91" s="3" t="s">
        <v>367</v>
      </c>
      <c r="B91" s="3" t="s">
        <v>10</v>
      </c>
      <c r="C91" s="3" t="s">
        <v>11</v>
      </c>
      <c r="D91" s="3" t="s">
        <v>368</v>
      </c>
      <c r="E91" s="5" t="s">
        <v>34</v>
      </c>
      <c r="F91" s="3" t="s">
        <v>369</v>
      </c>
      <c r="G91" s="3" t="s">
        <v>15</v>
      </c>
      <c r="H91" s="3" t="s">
        <v>370</v>
      </c>
      <c r="I91" s="3" t="s">
        <v>17</v>
      </c>
    </row>
    <row r="92" customFormat="false" ht="23.85" hidden="false" customHeight="false" outlineLevel="0" collapsed="false">
      <c r="A92" s="3" t="s">
        <v>371</v>
      </c>
      <c r="B92" s="3" t="s">
        <v>10</v>
      </c>
      <c r="C92" s="3" t="s">
        <v>11</v>
      </c>
      <c r="D92" s="3" t="s">
        <v>372</v>
      </c>
      <c r="E92" s="5" t="s">
        <v>34</v>
      </c>
      <c r="F92" s="3" t="s">
        <v>373</v>
      </c>
      <c r="G92" s="3" t="s">
        <v>15</v>
      </c>
      <c r="H92" s="3" t="s">
        <v>374</v>
      </c>
      <c r="I92" s="3" t="s">
        <v>17</v>
      </c>
    </row>
    <row r="93" customFormat="false" ht="15" hidden="false" customHeight="false" outlineLevel="0" collapsed="false">
      <c r="A93" s="3" t="s">
        <v>375</v>
      </c>
      <c r="B93" s="3" t="s">
        <v>10</v>
      </c>
      <c r="C93" s="3" t="s">
        <v>11</v>
      </c>
      <c r="D93" s="3" t="s">
        <v>376</v>
      </c>
      <c r="E93" s="5" t="s">
        <v>34</v>
      </c>
      <c r="F93" s="3" t="s">
        <v>377</v>
      </c>
      <c r="G93" s="3" t="s">
        <v>15</v>
      </c>
      <c r="H93" s="3" t="s">
        <v>378</v>
      </c>
      <c r="I93" s="3" t="s">
        <v>17</v>
      </c>
    </row>
    <row r="94" customFormat="false" ht="15" hidden="false" customHeight="false" outlineLevel="0" collapsed="false">
      <c r="A94" s="3" t="s">
        <v>379</v>
      </c>
      <c r="B94" s="3" t="s">
        <v>10</v>
      </c>
      <c r="C94" s="3" t="s">
        <v>11</v>
      </c>
      <c r="D94" s="3" t="s">
        <v>380</v>
      </c>
      <c r="E94" s="5" t="s">
        <v>34</v>
      </c>
      <c r="F94" s="3" t="s">
        <v>381</v>
      </c>
      <c r="G94" s="3" t="s">
        <v>15</v>
      </c>
      <c r="H94" s="3" t="s">
        <v>382</v>
      </c>
      <c r="I94" s="3" t="s">
        <v>17</v>
      </c>
    </row>
    <row r="95" customFormat="false" ht="15" hidden="false" customHeight="false" outlineLevel="0" collapsed="false">
      <c r="A95" s="3" t="s">
        <v>383</v>
      </c>
      <c r="B95" s="3" t="s">
        <v>10</v>
      </c>
      <c r="C95" s="3" t="s">
        <v>11</v>
      </c>
      <c r="D95" s="3" t="s">
        <v>384</v>
      </c>
      <c r="E95" s="5" t="s">
        <v>34</v>
      </c>
      <c r="F95" s="3" t="s">
        <v>385</v>
      </c>
      <c r="G95" s="3" t="s">
        <v>15</v>
      </c>
      <c r="H95" s="3" t="s">
        <v>386</v>
      </c>
      <c r="I95" s="3" t="s">
        <v>17</v>
      </c>
    </row>
  </sheetData>
  <autoFilter ref="A1:I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6" t="s">
        <v>387</v>
      </c>
    </row>
    <row r="3" customFormat="false" ht="15" hidden="false" customHeight="true" outlineLevel="0" collapsed="false">
      <c r="A3" s="7" t="s">
        <v>388</v>
      </c>
      <c r="B3" s="8" t="n">
        <f aca="false">COUNTA('Job Detail Cases'!A2:A95)</f>
        <v>94</v>
      </c>
    </row>
    <row r="4" customFormat="false" ht="15" hidden="false" customHeight="true" outlineLevel="0" collapsed="false">
      <c r="A4" s="7" t="s">
        <v>13</v>
      </c>
      <c r="B4" s="8" t="n">
        <f aca="false">COUNTIF('Job Detail Cases'!E2:E95,"Happy")</f>
        <v>30</v>
      </c>
    </row>
    <row r="5" customFormat="false" ht="15" hidden="false" customHeight="true" outlineLevel="0" collapsed="false">
      <c r="A5" s="7" t="s">
        <v>34</v>
      </c>
      <c r="B5" s="8" t="n">
        <f aca="false">COUNTIF('Job Detail Cases'!E2:E95,"Edge")</f>
        <v>64</v>
      </c>
    </row>
    <row r="6" customFormat="false" ht="15" hidden="false" customHeight="true" outlineLevel="0" collapsed="false">
      <c r="A6" s="7"/>
      <c r="B6" s="8"/>
    </row>
    <row r="7" customFormat="false" ht="15" hidden="false" customHeight="true" outlineLevel="0" collapsed="false">
      <c r="A7" s="7" t="s">
        <v>389</v>
      </c>
      <c r="B7" s="8" t="n">
        <f aca="false">COUNTIF('Job Detail Cases'!I2:I95,"Pass")</f>
        <v>0</v>
      </c>
    </row>
    <row r="8" customFormat="false" ht="15" hidden="false" customHeight="true" outlineLevel="0" collapsed="false">
      <c r="A8" s="7" t="s">
        <v>390</v>
      </c>
      <c r="B8" s="8" t="n">
        <f aca="false">COUNTIF('Job Detail Cases'!I2:I95,"Fail")</f>
        <v>0</v>
      </c>
    </row>
    <row r="9" customFormat="false" ht="15" hidden="false" customHeight="true" outlineLevel="0" collapsed="false">
      <c r="A9" s="7" t="s">
        <v>17</v>
      </c>
      <c r="B9" s="8" t="n">
        <f aca="false">COUNTIF('Job Detail Cases'!I2:I95,"Not Run")</f>
        <v>94</v>
      </c>
    </row>
    <row r="10" customFormat="false" ht="15" hidden="false" customHeight="true" outlineLevel="0" collapsed="false">
      <c r="A10" s="7"/>
      <c r="B10" s="8"/>
    </row>
    <row r="11" customFormat="false" ht="15" hidden="false" customHeight="true" outlineLevel="0" collapsed="false">
      <c r="A11" s="7" t="s">
        <v>391</v>
      </c>
      <c r="B11" s="9" t="n">
        <f aca="false">IF(B3-B9=0,0,B7/(B3-B9))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2026-05-28T06:39:45Z</dcterms:created>
  <dc:creator>openpyxl</dc:creator>
  <dc:description/>
  <dc:language>en-US</dc:language>
  <cp:lastModifiedBy/>
  <dcterms:modified xsi:type="dcterms:W3CDTF">2026-05-28T09:01:21Z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