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ing API Cases" sheetId="1" state="visible" r:id="rId3"/>
    <sheet name="Summary" sheetId="2" state="visible" r:id="rId4"/>
  </sheets>
  <definedNames>
    <definedName function="false" hidden="true" localSheetId="0" name="_xlnm._FilterDatabase" vbProcedure="false">'Billing API Cases'!$A$1:$I$31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<sst xmlns="http://schemas.openxmlformats.org/spreadsheetml/2006/main" count="297" uniqueCount="168">
  <si>
    <t xml:space="preserve">TestCaseID</t>
  </si>
  <si>
    <t xml:space="preserve">Endpoint</t>
  </si>
  <si>
    <t xml:space="preserve">Method</t>
  </si>
  <si>
    <t xml:space="preserve">Description</t>
  </si>
  <si>
    <t xml:space="preserve">Type</t>
  </si>
  <si>
    <t xml:space="preserve">Input</t>
  </si>
  <si>
    <t xml:space="preserve">ExpectedStatus</t>
  </si>
  <si>
    <t xml:space="preserve">ExpectedResult</t>
  </si>
  <si>
    <t xml:space="preserve">Status</t>
  </si>
  <si>
    <t xml:space="preserve">TC001</t>
  </si>
  <si>
    <t xml:space="preserve">/billing/payment-profile</t>
  </si>
  <si>
    <t xml:space="preserve">GET</t>
  </si>
  <si>
    <t xml:space="preserve">Fetch provider for a Stripe tenant</t>
  </si>
  <si>
    <t xml:space="preserve">Happy</t>
  </si>
  <si>
    <t xml:space="preserve">Authenticated Stripe tenant</t>
  </si>
  <si>
    <t xml:space="preserve">200</t>
  </si>
  <si>
    <t xml:space="preserve">Response contains account.provider = 'STRIPE'.</t>
  </si>
  <si>
    <t xml:space="preserve">Not Run</t>
  </si>
  <si>
    <t xml:space="preserve">TC002</t>
  </si>
  <si>
    <t xml:space="preserve">Fetch provider for a Paysafe tenant</t>
  </si>
  <si>
    <t xml:space="preserve">Authenticated Paysafe tenant</t>
  </si>
  <si>
    <t xml:space="preserve">Response contains account.provider = 'PAYSAFE'.</t>
  </si>
  <si>
    <t xml:space="preserve">TC003</t>
  </si>
  <si>
    <t xml:space="preserve">/billing/setup-payment-method</t>
  </si>
  <si>
    <t xml:space="preserve">POST</t>
  </si>
  <si>
    <t xml:space="preserve">Stripe tenant starts card setup</t>
  </si>
  <si>
    <t xml:space="preserve">Body { returnUrl:'https://app/x' }</t>
  </si>
  <si>
    <t xml:space="preserve">201</t>
  </si>
  <si>
    <t xml:space="preserve">Response returns clientSecret + setupIntent for Stripe hosted checkout.</t>
  </si>
  <si>
    <t xml:space="preserve">TC004</t>
  </si>
  <si>
    <t xml:space="preserve">Paysafe tenant hits Stripe-only endpoint</t>
  </si>
  <si>
    <t xml:space="preserve">Negative</t>
  </si>
  <si>
    <t xml:space="preserve">Paysafe tenant calls this route</t>
  </si>
  <si>
    <t xml:space="preserve">400</t>
  </si>
  <si>
    <t xml:space="preserve">Endpoint rejected — provider mismatch (Paysafe uses /payment-method instead).</t>
  </si>
  <si>
    <t xml:space="preserve">TC005</t>
  </si>
  <si>
    <t xml:space="preserve">Missing returnUrl</t>
  </si>
  <si>
    <t xml:space="preserve">Body without returnUrl</t>
  </si>
  <si>
    <t xml:space="preserve">Validation error: returnUrl is required.</t>
  </si>
  <si>
    <t xml:space="preserve">TC006</t>
  </si>
  <si>
    <t xml:space="preserve">/billing/payment-method</t>
  </si>
  <si>
    <t xml:space="preserve">Paysafe tenant attaches a fresh pm_ token</t>
  </si>
  <si>
    <t xml:space="preserve">Body { paymentMethodId:'pm_freshToken' } on Paysafe tenant</t>
  </si>
  <si>
    <t xml:space="preserve">Card saved, marked default; response returns { brand, last4, expMonth, expYear, isDefault:true, provider:'PAYSAFE' }.</t>
  </si>
  <si>
    <t xml:space="preserve">TC007</t>
  </si>
  <si>
    <t xml:space="preserve">Attach expired pm_ token (&gt;10 min TTL)</t>
  </si>
  <si>
    <t xml:space="preserve">Edge</t>
  </si>
  <si>
    <t xml:space="preserve">Body { paymentMethodId:'pm_expiredToken' }</t>
  </si>
  <si>
    <t xml:space="preserve">Rejected with tokenization error — client must re-tokenize.</t>
  </si>
  <si>
    <t xml:space="preserve">TC008</t>
  </si>
  <si>
    <t xml:space="preserve">Stripe tenant hits Paysafe-only endpoint</t>
  </si>
  <si>
    <t xml:space="preserve">Stripe tenant calls this route</t>
  </si>
  <si>
    <t xml:space="preserve">Endpoint rejected — provider mismatch (Stripe uses /setup-payment-method).</t>
  </si>
  <si>
    <t xml:space="preserve">TC009</t>
  </si>
  <si>
    <t xml:space="preserve">/billing/update-subscription</t>
  </si>
  <si>
    <t xml:space="preserve">Stripe tenant subscribes with saved default card</t>
  </si>
  <si>
    <t xml:space="preserve">Body { subscriptionPlanTierId } (paymentMethodId omitted)</t>
  </si>
  <si>
    <t xml:space="preserve">Sub created with status='active' immediately (Stripe charges first invoice synchronously).</t>
  </si>
  <si>
    <t xml:space="preserve">TC010</t>
  </si>
  <si>
    <t xml:space="preserve">Stripe tenant with no card on file</t>
  </si>
  <si>
    <t xml:space="preserve">Body { subscriptionPlanTierId, returnUrl }</t>
  </si>
  <si>
    <t xml:space="preserve">Response returns checkoutClientSecret so FE renders Stripe hosted Checkout.</t>
  </si>
  <si>
    <t xml:space="preserve">TC011</t>
  </si>
  <si>
    <t xml:space="preserve">Stripe tenant no card + missing returnUrl</t>
  </si>
  <si>
    <t xml:space="preserve">Body { subscriptionPlanTierId } — no returnUrl, no card</t>
  </si>
  <si>
    <t xml:space="preserve">Validation error: returnUrl required when no card is on file.</t>
  </si>
  <si>
    <t xml:space="preserve">TC012</t>
  </si>
  <si>
    <t xml:space="preserve">Paysafe tenant subscribes with fresh pm_ token</t>
  </si>
  <si>
    <t xml:space="preserve">Body { subscriptionPlanTierId, paymentMethodId:'pm_…' }</t>
  </si>
  <si>
    <t xml:space="preserve">Sub created with status='pending' (Paysafe settles via webhook).</t>
  </si>
  <si>
    <t xml:space="preserve">TC013</t>
  </si>
  <si>
    <t xml:space="preserve">Paysafe tenant with no card on file</t>
  </si>
  <si>
    <t xml:space="preserve">Body { subscriptionPlanTierId } on Paysafe tenant, no default card</t>
  </si>
  <si>
    <t xml:space="preserve">Error code PAYMENT_METHOD_REQUIRED — Paysafe has no hosted subscribe page.</t>
  </si>
  <si>
    <t xml:space="preserve">TC014</t>
  </si>
  <si>
    <t xml:space="preserve">Start a free trial</t>
  </si>
  <si>
    <t xml:space="preserve">Body { subscriptionPlanTierId, isTrial:true }</t>
  </si>
  <si>
    <t xml:space="preserve">Response returns trial { isTrialStarted:true, trialEndDate } — no card required.</t>
  </si>
  <si>
    <t xml:space="preserve">TC015</t>
  </si>
  <si>
    <t xml:space="preserve">Stripe card declined synchronously</t>
  </si>
  <si>
    <t xml:space="preserve">Stripe tenant with a card that will decline</t>
  </si>
  <si>
    <t xml:space="preserve">402</t>
  </si>
  <si>
    <t xml:space="preserve">Error surfaces the Stripe decline reason; no subscription created.</t>
  </si>
  <si>
    <t xml:space="preserve">TC016</t>
  </si>
  <si>
    <t xml:space="preserve">Unknown subscriptionPlanTierId</t>
  </si>
  <si>
    <t xml:space="preserve">Body { subscriptionPlanTierId:'non-existent-uuid' }</t>
  </si>
  <si>
    <t xml:space="preserve">404</t>
  </si>
  <si>
    <t xml:space="preserve">Plan tier not found.</t>
  </si>
  <si>
    <t xml:space="preserve">TC017</t>
  </si>
  <si>
    <t xml:space="preserve">/billing/schedule-downgrade</t>
  </si>
  <si>
    <t xml:space="preserve">Stripe active tenant schedules cancel</t>
  </si>
  <si>
    <t xml:space="preserve">Body { newPlanId }</t>
  </si>
  <si>
    <t xml:space="preserve">Response: isScheduledCancellation=true, subscriptionCancelsAt set (Stripe cancel_at_period_end).</t>
  </si>
  <si>
    <t xml:space="preserve">TC018</t>
  </si>
  <si>
    <t xml:space="preserve">Paysafe ACTIVE tenant schedules cancel</t>
  </si>
  <si>
    <t xml:space="preserve">Body { newPlanId } on Paysafe active sub</t>
  </si>
  <si>
    <t xml:space="preserve">Response: isScheduledCancellation=true, subscriptionCancelsAt = computed next-payment date.</t>
  </si>
  <si>
    <t xml:space="preserve">TC019</t>
  </si>
  <si>
    <t xml:space="preserve">Paysafe tenant with non-ACTIVE sub</t>
  </si>
  <si>
    <t xml:space="preserve">Sub still 'pending'</t>
  </si>
  <si>
    <t xml:space="preserve">Error code SUBSCRIPTION_NOT_ACTIVE — Paysafe requires ACTIVE sub to schedule.</t>
  </si>
  <si>
    <t xml:space="preserve">TC020</t>
  </si>
  <si>
    <t xml:space="preserve">Missing newPlanId</t>
  </si>
  <si>
    <t xml:space="preserve">Body {}</t>
  </si>
  <si>
    <t xml:space="preserve">Validation error: newPlanId required.</t>
  </si>
  <si>
    <t xml:space="preserve">TC021</t>
  </si>
  <si>
    <t xml:space="preserve">/billing/undo-downgrade</t>
  </si>
  <si>
    <t xml:space="preserve">Undo a scheduled cancellation</t>
  </si>
  <si>
    <t xml:space="preserve">No body; sub currently isScheduledCancellation=true</t>
  </si>
  <si>
    <t xml:space="preserve">Response: isScheduledCancellation=false; subscription resumes as normal.</t>
  </si>
  <si>
    <t xml:space="preserve">TC022</t>
  </si>
  <si>
    <t xml:space="preserve">Undo when no cancel is scheduled</t>
  </si>
  <si>
    <t xml:space="preserve">No body; sub not scheduled to cancel</t>
  </si>
  <si>
    <t xml:space="preserve">No-op error: nothing scheduled to undo.</t>
  </si>
  <si>
    <t xml:space="preserve">TC023</t>
  </si>
  <si>
    <t xml:space="preserve">/billing/purchase-credits</t>
  </si>
  <si>
    <t xml:space="preserve">Buy credits (any provider)</t>
  </si>
  <si>
    <t xml:space="preserve">Body { creditPurchaseOptionId }</t>
  </si>
  <si>
    <t xml:space="preserve">Response returns chargeId; credits are granted via provider webhook shortly after (not in HTTP response).</t>
  </si>
  <si>
    <t xml:space="preserve">TC024</t>
  </si>
  <si>
    <t xml:space="preserve">Verify credits arrive only after webhook</t>
  </si>
  <si>
    <t xml:space="preserve">Immediately after TC023 HTTP 201</t>
  </si>
  <si>
    <t xml:space="preserve">-</t>
  </si>
  <si>
    <t xml:space="preserve">Credit balance NOT incremented yet on the immediate GET; increments after webhook fires.</t>
  </si>
  <si>
    <t xml:space="preserve">TC025</t>
  </si>
  <si>
    <t xml:space="preserve">Unknown creditPurchaseOptionId</t>
  </si>
  <si>
    <t xml:space="preserve">Body { creditPurchaseOptionId:'non-existent' }</t>
  </si>
  <si>
    <t xml:space="preserve">Credit option not found.</t>
  </si>
  <si>
    <t xml:space="preserve">TC026</t>
  </si>
  <si>
    <t xml:space="preserve">/webhook/platform-account/stripe</t>
  </si>
  <si>
    <t xml:space="preserve">Deliver a valid Stripe webhook</t>
  </si>
  <si>
    <t xml:space="preserve">Header stripe-signature valid; event = invoice.paid</t>
  </si>
  <si>
    <t xml:space="preserve">Event processed; subscription status flips to 'active' (or downstream state updated).</t>
  </si>
  <si>
    <t xml:space="preserve">TC027</t>
  </si>
  <si>
    <t xml:space="preserve">/webhook/platform-account/paysafe</t>
  </si>
  <si>
    <t xml:space="preserve">Deliver a valid Paysafe webhook</t>
  </si>
  <si>
    <t xml:space="preserve">Header payments-signature valid; event = subscription.activated</t>
  </si>
  <si>
    <t xml:space="preserve">Event processed; Paysafe sub transitions pending → active.</t>
  </si>
  <si>
    <t xml:space="preserve">TC028</t>
  </si>
  <si>
    <t xml:space="preserve">Reject webhook with invalid signature</t>
  </si>
  <si>
    <t xml:space="preserve">Header stripe-signature = 'bad'</t>
  </si>
  <si>
    <t xml:space="preserve">401</t>
  </si>
  <si>
    <t xml:space="preserve">Rejected — signature verification failure; no state change.</t>
  </si>
  <si>
    <t xml:space="preserve">TC029</t>
  </si>
  <si>
    <t xml:space="preserve">(multiple)</t>
  </si>
  <si>
    <t xml:space="preserve">MIX</t>
  </si>
  <si>
    <t xml:space="preserve">Paysafe end-to-end flow</t>
  </si>
  <si>
    <t xml:space="preserve">GET /payment-profile → tokenize → POST /payment-method → POST /update-subscription → webhook</t>
  </si>
  <si>
    <t xml:space="preserve">201/200</t>
  </si>
  <si>
    <t xml:space="preserve">Provider=PAYSAFE; card attached; sub returned 'pending'; webhook flips to 'active' within seconds.</t>
  </si>
  <si>
    <t xml:space="preserve">TC030</t>
  </si>
  <si>
    <t xml:space="preserve">Stripe no-card end-to-end flow</t>
  </si>
  <si>
    <t xml:space="preserve">GET /payment-profile → POST /update-subscription (no card, returnUrl) → hosted Checkout → webhook</t>
  </si>
  <si>
    <t xml:space="preserve">Provider=STRIPE; checkoutClientSecret returned; card + sub created together via Checkout; webhook confirms.</t>
  </si>
  <si>
    <t xml:space="preserve">Billing API Flow — Test Plan (Stripe + Paysafe)</t>
  </si>
  <si>
    <t xml:space="preserve">Provider gate</t>
  </si>
  <si>
    <t xml:space="preserve">GET /billing/payment-profile → account.provider decides card-collection UX</t>
  </si>
  <si>
    <t xml:space="preserve">Stripe branch</t>
  </si>
  <si>
    <t xml:space="preserve">Card via hosted Checkout (SetupIntent/clientSecret); first charge is SYNC → status=active</t>
  </si>
  <si>
    <t xml:space="preserve">Paysafe branch</t>
  </si>
  <si>
    <t xml:space="preserve">Client-side tokenize (Tilled.js) → POST /payment-method with pm_…; first charge is ASYNC → status=pending</t>
  </si>
  <si>
    <t xml:space="preserve">Key error codes</t>
  </si>
  <si>
    <t xml:space="preserve">PAYMENT_METHOD_REQUIRED (Paysafe subscribe no card) · SUBSCRIPTION_NOT_ACTIVE (Paysafe cancel on non-active)</t>
  </si>
  <si>
    <t xml:space="preserve">Total cases</t>
  </si>
  <si>
    <t xml:space="preserve">End-to-end</t>
  </si>
  <si>
    <t xml:space="preserve">Passed</t>
  </si>
  <si>
    <t xml:space="preserve">Failed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</si>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</sst>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7" min="7" style="0" width="15"/>
    <col collapsed="false" customWidth="true" hidden="false" outlineLevel="0" max="8" min="8" style="0" width="66"/>
    <col collapsed="false" customWidth="true" hidden="false" outlineLevel="0" max="9" min="9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0" t="s">
        <v>17</v>
      </c>
    </row>
    <row r="3" customFormat="false" ht="15" hidden="false" customHeight="false" outlineLevel="0" collapsed="false">
      <c r="A3" s="2" t="s">
        <v>18</v>
      </c>
      <c r="B3" s="2" t="s">
        <v>10</v>
      </c>
      <c r="C3" s="2" t="s">
        <v>11</v>
      </c>
      <c r="D3" s="2" t="s">
        <v>19</v>
      </c>
      <c r="E3" s="3" t="s">
        <v>13</v>
      </c>
      <c r="F3" s="2" t="s">
        <v>20</v>
      </c>
      <c r="G3" s="2" t="s">
        <v>15</v>
      </c>
      <c r="H3" s="2" t="s">
        <v>21</v>
      </c>
      <c r="I3" s="0" t="s">
        <v>17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3" t="s">
        <v>13</v>
      </c>
      <c r="F4" s="2" t="s">
        <v>26</v>
      </c>
      <c r="G4" s="2" t="s">
        <v>27</v>
      </c>
      <c r="H4" s="2" t="s">
        <v>28</v>
      </c>
      <c r="I4" s="0" t="s">
        <v>17</v>
      </c>
    </row>
    <row r="5" customFormat="false" ht="23.85" hidden="false" customHeight="false" outlineLevel="0" collapsed="false">
      <c r="A5" s="2" t="s">
        <v>29</v>
      </c>
      <c r="B5" s="2" t="s">
        <v>23</v>
      </c>
      <c r="C5" s="2" t="s">
        <v>24</v>
      </c>
      <c r="D5" s="2" t="s">
        <v>30</v>
      </c>
      <c r="E5" s="4" t="s">
        <v>31</v>
      </c>
      <c r="F5" s="2" t="s">
        <v>32</v>
      </c>
      <c r="G5" s="2" t="s">
        <v>33</v>
      </c>
      <c r="H5" s="2" t="s">
        <v>34</v>
      </c>
      <c r="I5" s="0" t="s">
        <v>17</v>
      </c>
    </row>
    <row r="6" customFormat="false" ht="15" hidden="false" customHeight="false" outlineLevel="0" collapsed="false">
      <c r="A6" s="2" t="s">
        <v>35</v>
      </c>
      <c r="B6" s="2" t="s">
        <v>23</v>
      </c>
      <c r="C6" s="2" t="s">
        <v>24</v>
      </c>
      <c r="D6" s="2" t="s">
        <v>36</v>
      </c>
      <c r="E6" s="4" t="s">
        <v>31</v>
      </c>
      <c r="F6" s="2" t="s">
        <v>37</v>
      </c>
      <c r="G6" s="2" t="s">
        <v>33</v>
      </c>
      <c r="H6" s="2" t="s">
        <v>38</v>
      </c>
      <c r="I6" s="0" t="s">
        <v>17</v>
      </c>
    </row>
    <row r="7" customFormat="false" ht="23.85" hidden="false" customHeight="false" outlineLevel="0" collapsed="false">
      <c r="A7" s="2" t="s">
        <v>39</v>
      </c>
      <c r="B7" s="2" t="s">
        <v>40</v>
      </c>
      <c r="C7" s="2" t="s">
        <v>24</v>
      </c>
      <c r="D7" s="2" t="s">
        <v>41</v>
      </c>
      <c r="E7" s="3" t="s">
        <v>13</v>
      </c>
      <c r="F7" s="2" t="s">
        <v>42</v>
      </c>
      <c r="G7" s="2" t="s">
        <v>27</v>
      </c>
      <c r="H7" s="2" t="s">
        <v>43</v>
      </c>
      <c r="I7" s="0" t="s">
        <v>17</v>
      </c>
    </row>
    <row r="8" customFormat="false" ht="15" hidden="false" customHeight="false" outlineLevel="0" collapsed="false">
      <c r="A8" s="2" t="s">
        <v>44</v>
      </c>
      <c r="B8" s="2" t="s">
        <v>40</v>
      </c>
      <c r="C8" s="2" t="s">
        <v>24</v>
      </c>
      <c r="D8" s="2" t="s">
        <v>45</v>
      </c>
      <c r="E8" s="5" t="s">
        <v>46</v>
      </c>
      <c r="F8" s="2" t="s">
        <v>47</v>
      </c>
      <c r="G8" s="2" t="s">
        <v>33</v>
      </c>
      <c r="H8" s="2" t="s">
        <v>48</v>
      </c>
      <c r="I8" s="0" t="s">
        <v>17</v>
      </c>
    </row>
    <row r="9" customFormat="false" ht="15" hidden="false" customHeight="false" outlineLevel="0" collapsed="false">
      <c r="A9" s="2" t="s">
        <v>49</v>
      </c>
      <c r="B9" s="2" t="s">
        <v>40</v>
      </c>
      <c r="C9" s="2" t="s">
        <v>24</v>
      </c>
      <c r="D9" s="2" t="s">
        <v>50</v>
      </c>
      <c r="E9" s="4" t="s">
        <v>31</v>
      </c>
      <c r="F9" s="2" t="s">
        <v>51</v>
      </c>
      <c r="G9" s="2" t="s">
        <v>33</v>
      </c>
      <c r="H9" s="2" t="s">
        <v>52</v>
      </c>
      <c r="I9" s="0" t="s">
        <v>17</v>
      </c>
    </row>
    <row r="10" customFormat="false" ht="23.85" hidden="false" customHeight="false" outlineLevel="0" collapsed="false">
      <c r="A10" s="2" t="s">
        <v>53</v>
      </c>
      <c r="B10" s="2" t="s">
        <v>54</v>
      </c>
      <c r="C10" s="2" t="s">
        <v>24</v>
      </c>
      <c r="D10" s="2" t="s">
        <v>55</v>
      </c>
      <c r="E10" s="3" t="s">
        <v>13</v>
      </c>
      <c r="F10" s="2" t="s">
        <v>56</v>
      </c>
      <c r="G10" s="2" t="s">
        <v>27</v>
      </c>
      <c r="H10" s="2" t="s">
        <v>57</v>
      </c>
      <c r="I10" s="0" t="s">
        <v>17</v>
      </c>
    </row>
    <row r="11" customFormat="false" ht="15" hidden="false" customHeight="false" outlineLevel="0" collapsed="false">
      <c r="A11" s="2" t="s">
        <v>58</v>
      </c>
      <c r="B11" s="2" t="s">
        <v>54</v>
      </c>
      <c r="C11" s="2" t="s">
        <v>24</v>
      </c>
      <c r="D11" s="2" t="s">
        <v>59</v>
      </c>
      <c r="E11" s="3" t="s">
        <v>13</v>
      </c>
      <c r="F11" s="2" t="s">
        <v>60</v>
      </c>
      <c r="G11" s="2" t="s">
        <v>27</v>
      </c>
      <c r="H11" s="2" t="s">
        <v>61</v>
      </c>
      <c r="I11" s="0" t="s">
        <v>17</v>
      </c>
    </row>
    <row r="12" customFormat="false" ht="15" hidden="false" customHeight="false" outlineLevel="0" collapsed="false">
      <c r="A12" s="2" t="s">
        <v>62</v>
      </c>
      <c r="B12" s="2" t="s">
        <v>54</v>
      </c>
      <c r="C12" s="2" t="s">
        <v>24</v>
      </c>
      <c r="D12" s="2" t="s">
        <v>63</v>
      </c>
      <c r="E12" s="4" t="s">
        <v>31</v>
      </c>
      <c r="F12" s="2" t="s">
        <v>64</v>
      </c>
      <c r="G12" s="2" t="s">
        <v>33</v>
      </c>
      <c r="H12" s="2" t="s">
        <v>65</v>
      </c>
      <c r="I12" s="0" t="s">
        <v>17</v>
      </c>
    </row>
    <row r="13" customFormat="false" ht="15" hidden="false" customHeight="false" outlineLevel="0" collapsed="false">
      <c r="A13" s="2" t="s">
        <v>66</v>
      </c>
      <c r="B13" s="2" t="s">
        <v>54</v>
      </c>
      <c r="C13" s="2" t="s">
        <v>24</v>
      </c>
      <c r="D13" s="2" t="s">
        <v>67</v>
      </c>
      <c r="E13" s="3" t="s">
        <v>13</v>
      </c>
      <c r="F13" s="2" t="s">
        <v>68</v>
      </c>
      <c r="G13" s="2" t="s">
        <v>27</v>
      </c>
      <c r="H13" s="2" t="s">
        <v>69</v>
      </c>
      <c r="I13" s="0" t="s">
        <v>17</v>
      </c>
    </row>
    <row r="14" customFormat="false" ht="23.85" hidden="false" customHeight="false" outlineLevel="0" collapsed="false">
      <c r="A14" s="2" t="s">
        <v>70</v>
      </c>
      <c r="B14" s="2" t="s">
        <v>54</v>
      </c>
      <c r="C14" s="2" t="s">
        <v>24</v>
      </c>
      <c r="D14" s="2" t="s">
        <v>71</v>
      </c>
      <c r="E14" s="4" t="s">
        <v>31</v>
      </c>
      <c r="F14" s="2" t="s">
        <v>72</v>
      </c>
      <c r="G14" s="2" t="s">
        <v>33</v>
      </c>
      <c r="H14" s="2" t="s">
        <v>73</v>
      </c>
      <c r="I14" s="0" t="s">
        <v>17</v>
      </c>
    </row>
    <row r="15" customFormat="false" ht="15" hidden="false" customHeight="false" outlineLevel="0" collapsed="false">
      <c r="A15" s="2" t="s">
        <v>74</v>
      </c>
      <c r="B15" s="2" t="s">
        <v>54</v>
      </c>
      <c r="C15" s="2" t="s">
        <v>24</v>
      </c>
      <c r="D15" s="2" t="s">
        <v>75</v>
      </c>
      <c r="E15" s="3" t="s">
        <v>13</v>
      </c>
      <c r="F15" s="2" t="s">
        <v>76</v>
      </c>
      <c r="G15" s="2" t="s">
        <v>27</v>
      </c>
      <c r="H15" s="2" t="s">
        <v>77</v>
      </c>
      <c r="I15" s="0" t="s">
        <v>17</v>
      </c>
    </row>
    <row r="16" customFormat="false" ht="15" hidden="false" customHeight="false" outlineLevel="0" collapsed="false">
      <c r="A16" s="2" t="s">
        <v>78</v>
      </c>
      <c r="B16" s="2" t="s">
        <v>54</v>
      </c>
      <c r="C16" s="2" t="s">
        <v>24</v>
      </c>
      <c r="D16" s="2" t="s">
        <v>79</v>
      </c>
      <c r="E16" s="4" t="s">
        <v>31</v>
      </c>
      <c r="F16" s="2" t="s">
        <v>80</v>
      </c>
      <c r="G16" s="2" t="s">
        <v>81</v>
      </c>
      <c r="H16" s="2" t="s">
        <v>82</v>
      </c>
      <c r="I16" s="0" t="s">
        <v>17</v>
      </c>
    </row>
    <row r="17" customFormat="false" ht="15" hidden="false" customHeight="false" outlineLevel="0" collapsed="false">
      <c r="A17" s="2" t="s">
        <v>83</v>
      </c>
      <c r="B17" s="2" t="s">
        <v>54</v>
      </c>
      <c r="C17" s="2" t="s">
        <v>24</v>
      </c>
      <c r="D17" s="2" t="s">
        <v>84</v>
      </c>
      <c r="E17" s="4" t="s">
        <v>31</v>
      </c>
      <c r="F17" s="2" t="s">
        <v>85</v>
      </c>
      <c r="G17" s="2" t="s">
        <v>86</v>
      </c>
      <c r="H17" s="2" t="s">
        <v>87</v>
      </c>
      <c r="I17" s="0" t="s">
        <v>17</v>
      </c>
    </row>
    <row r="18" customFormat="false" ht="23.85" hidden="false" customHeight="false" outlineLevel="0" collapsed="false">
      <c r="A18" s="2" t="s">
        <v>88</v>
      </c>
      <c r="B18" s="2" t="s">
        <v>89</v>
      </c>
      <c r="C18" s="2" t="s">
        <v>24</v>
      </c>
      <c r="D18" s="2" t="s">
        <v>90</v>
      </c>
      <c r="E18" s="3" t="s">
        <v>13</v>
      </c>
      <c r="F18" s="2" t="s">
        <v>91</v>
      </c>
      <c r="G18" s="2" t="s">
        <v>15</v>
      </c>
      <c r="H18" s="2" t="s">
        <v>92</v>
      </c>
      <c r="I18" s="0" t="s">
        <v>17</v>
      </c>
    </row>
    <row r="19" customFormat="false" ht="23.85" hidden="false" customHeight="false" outlineLevel="0" collapsed="false">
      <c r="A19" s="2" t="s">
        <v>93</v>
      </c>
      <c r="B19" s="2" t="s">
        <v>89</v>
      </c>
      <c r="C19" s="2" t="s">
        <v>24</v>
      </c>
      <c r="D19" s="2" t="s">
        <v>94</v>
      </c>
      <c r="E19" s="3" t="s">
        <v>13</v>
      </c>
      <c r="F19" s="2" t="s">
        <v>95</v>
      </c>
      <c r="G19" s="2" t="s">
        <v>15</v>
      </c>
      <c r="H19" s="2" t="s">
        <v>96</v>
      </c>
      <c r="I19" s="0" t="s">
        <v>17</v>
      </c>
    </row>
    <row r="20" customFormat="false" ht="23.85" hidden="false" customHeight="false" outlineLevel="0" collapsed="false">
      <c r="A20" s="2" t="s">
        <v>97</v>
      </c>
      <c r="B20" s="2" t="s">
        <v>89</v>
      </c>
      <c r="C20" s="2" t="s">
        <v>24</v>
      </c>
      <c r="D20" s="2" t="s">
        <v>98</v>
      </c>
      <c r="E20" s="4" t="s">
        <v>31</v>
      </c>
      <c r="F20" s="2" t="s">
        <v>99</v>
      </c>
      <c r="G20" s="2" t="s">
        <v>33</v>
      </c>
      <c r="H20" s="2" t="s">
        <v>100</v>
      </c>
      <c r="I20" s="0" t="s">
        <v>17</v>
      </c>
    </row>
    <row r="21" customFormat="false" ht="15" hidden="false" customHeight="false" outlineLevel="0" collapsed="false">
      <c r="A21" s="2" t="s">
        <v>101</v>
      </c>
      <c r="B21" s="2" t="s">
        <v>89</v>
      </c>
      <c r="C21" s="2" t="s">
        <v>24</v>
      </c>
      <c r="D21" s="2" t="s">
        <v>102</v>
      </c>
      <c r="E21" s="4" t="s">
        <v>31</v>
      </c>
      <c r="F21" s="2" t="s">
        <v>103</v>
      </c>
      <c r="G21" s="2" t="s">
        <v>33</v>
      </c>
      <c r="H21" s="2" t="s">
        <v>104</v>
      </c>
      <c r="I21" s="0" t="s">
        <v>17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24</v>
      </c>
      <c r="D22" s="2" t="s">
        <v>107</v>
      </c>
      <c r="E22" s="3" t="s">
        <v>13</v>
      </c>
      <c r="F22" s="2" t="s">
        <v>108</v>
      </c>
      <c r="G22" s="2" t="s">
        <v>15</v>
      </c>
      <c r="H22" s="2" t="s">
        <v>109</v>
      </c>
      <c r="I22" s="0" t="s">
        <v>17</v>
      </c>
    </row>
    <row r="23" customFormat="false" ht="15" hidden="false" customHeight="false" outlineLevel="0" collapsed="false">
      <c r="A23" s="2" t="s">
        <v>110</v>
      </c>
      <c r="B23" s="2" t="s">
        <v>106</v>
      </c>
      <c r="C23" s="2" t="s">
        <v>24</v>
      </c>
      <c r="D23" s="2" t="s">
        <v>111</v>
      </c>
      <c r="E23" s="5" t="s">
        <v>46</v>
      </c>
      <c r="F23" s="2" t="s">
        <v>112</v>
      </c>
      <c r="G23" s="2" t="s">
        <v>33</v>
      </c>
      <c r="H23" s="2" t="s">
        <v>113</v>
      </c>
      <c r="I23" s="0" t="s">
        <v>17</v>
      </c>
    </row>
    <row r="24" customFormat="false" ht="23.85" hidden="false" customHeight="false" outlineLevel="0" collapsed="false">
      <c r="A24" s="2" t="s">
        <v>114</v>
      </c>
      <c r="B24" s="2" t="s">
        <v>115</v>
      </c>
      <c r="C24" s="2" t="s">
        <v>24</v>
      </c>
      <c r="D24" s="2" t="s">
        <v>116</v>
      </c>
      <c r="E24" s="3" t="s">
        <v>13</v>
      </c>
      <c r="F24" s="2" t="s">
        <v>117</v>
      </c>
      <c r="G24" s="2" t="s">
        <v>27</v>
      </c>
      <c r="H24" s="2" t="s">
        <v>118</v>
      </c>
      <c r="I24" s="0" t="s">
        <v>17</v>
      </c>
    </row>
    <row r="25" customFormat="false" ht="23.85" hidden="false" customHeight="false" outlineLevel="0" collapsed="false">
      <c r="A25" s="2" t="s">
        <v>119</v>
      </c>
      <c r="B25" s="2" t="s">
        <v>115</v>
      </c>
      <c r="C25" s="2" t="s">
        <v>24</v>
      </c>
      <c r="D25" s="2" t="s">
        <v>120</v>
      </c>
      <c r="E25" s="5" t="s">
        <v>46</v>
      </c>
      <c r="F25" s="2" t="s">
        <v>121</v>
      </c>
      <c r="G25" s="2" t="s">
        <v>122</v>
      </c>
      <c r="H25" s="2" t="s">
        <v>123</v>
      </c>
      <c r="I25" s="0" t="s">
        <v>17</v>
      </c>
    </row>
    <row r="26" customFormat="false" ht="15" hidden="false" customHeight="false" outlineLevel="0" collapsed="false">
      <c r="A26" s="2" t="s">
        <v>124</v>
      </c>
      <c r="B26" s="2" t="s">
        <v>115</v>
      </c>
      <c r="C26" s="2" t="s">
        <v>24</v>
      </c>
      <c r="D26" s="2" t="s">
        <v>125</v>
      </c>
      <c r="E26" s="4" t="s">
        <v>31</v>
      </c>
      <c r="F26" s="2" t="s">
        <v>126</v>
      </c>
      <c r="G26" s="2" t="s">
        <v>86</v>
      </c>
      <c r="H26" s="2" t="s">
        <v>127</v>
      </c>
      <c r="I26" s="0" t="s">
        <v>17</v>
      </c>
    </row>
    <row r="27" customFormat="false" ht="23.85" hidden="false" customHeight="false" outlineLevel="0" collapsed="false">
      <c r="A27" s="2" t="s">
        <v>128</v>
      </c>
      <c r="B27" s="2" t="s">
        <v>129</v>
      </c>
      <c r="C27" s="2" t="s">
        <v>24</v>
      </c>
      <c r="D27" s="2" t="s">
        <v>130</v>
      </c>
      <c r="E27" s="3" t="s">
        <v>13</v>
      </c>
      <c r="F27" s="2" t="s">
        <v>131</v>
      </c>
      <c r="G27" s="2" t="s">
        <v>15</v>
      </c>
      <c r="H27" s="2" t="s">
        <v>132</v>
      </c>
      <c r="I27" s="0" t="s">
        <v>17</v>
      </c>
    </row>
    <row r="28" customFormat="false" ht="23.85" hidden="false" customHeight="false" outlineLevel="0" collapsed="false">
      <c r="A28" s="2" t="s">
        <v>133</v>
      </c>
      <c r="B28" s="2" t="s">
        <v>134</v>
      </c>
      <c r="C28" s="2" t="s">
        <v>24</v>
      </c>
      <c r="D28" s="2" t="s">
        <v>135</v>
      </c>
      <c r="E28" s="3" t="s">
        <v>13</v>
      </c>
      <c r="F28" s="2" t="s">
        <v>136</v>
      </c>
      <c r="G28" s="2" t="s">
        <v>15</v>
      </c>
      <c r="H28" s="2" t="s">
        <v>137</v>
      </c>
      <c r="I28" s="0" t="s">
        <v>17</v>
      </c>
    </row>
    <row r="29" customFormat="false" ht="15" hidden="false" customHeight="false" outlineLevel="0" collapsed="false">
      <c r="A29" s="2" t="s">
        <v>138</v>
      </c>
      <c r="B29" s="2" t="s">
        <v>129</v>
      </c>
      <c r="C29" s="2" t="s">
        <v>24</v>
      </c>
      <c r="D29" s="2" t="s">
        <v>139</v>
      </c>
      <c r="E29" s="4" t="s">
        <v>31</v>
      </c>
      <c r="F29" s="2" t="s">
        <v>140</v>
      </c>
      <c r="G29" s="2" t="s">
        <v>141</v>
      </c>
      <c r="H29" s="2" t="s">
        <v>142</v>
      </c>
      <c r="I29" s="0" t="s">
        <v>17</v>
      </c>
    </row>
    <row r="30" customFormat="false" ht="23.85" hidden="false" customHeight="false" outlineLevel="0" collapsed="false">
      <c r="A30" s="2" t="s">
        <v>143</v>
      </c>
      <c r="B30" s="2" t="s">
        <v>144</v>
      </c>
      <c r="C30" s="2" t="s">
        <v>145</v>
      </c>
      <c r="D30" s="2" t="s">
        <v>146</v>
      </c>
      <c r="E30" s="3" t="s">
        <v>13</v>
      </c>
      <c r="F30" s="2" t="s">
        <v>147</v>
      </c>
      <c r="G30" s="2" t="s">
        <v>148</v>
      </c>
      <c r="H30" s="2" t="s">
        <v>149</v>
      </c>
      <c r="I30" s="0" t="s">
        <v>17</v>
      </c>
    </row>
    <row r="31" customFormat="false" ht="23.85" hidden="false" customHeight="false" outlineLevel="0" collapsed="false">
      <c r="A31" s="2" t="s">
        <v>150</v>
      </c>
      <c r="B31" s="2" t="s">
        <v>144</v>
      </c>
      <c r="C31" s="2" t="s">
        <v>145</v>
      </c>
      <c r="D31" s="2" t="s">
        <v>151</v>
      </c>
      <c r="E31" s="3" t="s">
        <v>13</v>
      </c>
      <c r="F31" s="2" t="s">
        <v>152</v>
      </c>
      <c r="G31" s="2" t="s">
        <v>148</v>
      </c>
      <c r="H31" s="2" t="s">
        <v>153</v>
      </c>
      <c r="I31" s="0" t="s">
        <v>17</v>
      </c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6" t="s">
        <v>154</v>
      </c>
    </row>
    <row r="3" customFormat="false" ht="15" hidden="false" customHeight="false" outlineLevel="0" collapsed="false">
      <c r="A3" s="7" t="s">
        <v>155</v>
      </c>
      <c r="B3" s="8" t="s">
        <v>156</v>
      </c>
    </row>
    <row r="4" customFormat="false" ht="15" hidden="false" customHeight="false" outlineLevel="0" collapsed="false">
      <c r="A4" s="7" t="s">
        <v>157</v>
      </c>
      <c r="B4" s="8" t="s">
        <v>158</v>
      </c>
    </row>
    <row r="5" customFormat="false" ht="26.85" hidden="false" customHeight="false" outlineLevel="0" collapsed="false">
      <c r="A5" s="7" t="s">
        <v>159</v>
      </c>
      <c r="B5" s="8" t="s">
        <v>160</v>
      </c>
    </row>
    <row r="6" customFormat="false" ht="26.85" hidden="false" customHeight="false" outlineLevel="0" collapsed="false">
      <c r="A6" s="7" t="s">
        <v>161</v>
      </c>
      <c r="B6" s="8" t="s">
        <v>162</v>
      </c>
    </row>
    <row r="7" customFormat="false" ht="15" hidden="false" customHeight="false" outlineLevel="0" collapsed="false">
      <c r="A7" s="7"/>
      <c r="B7" s="8"/>
    </row>
    <row r="8" customFormat="false" ht="15" hidden="false" customHeight="false" outlineLevel="0" collapsed="false">
      <c r="A8" s="7" t="s">
        <v>163</v>
      </c>
      <c r="B8" s="8" t="n">
        <f aca="false">COUNTA('Billing API Cases'!A2:A31)</f>
        <v>30</v>
      </c>
    </row>
    <row r="9" customFormat="false" ht="15" hidden="false" customHeight="false" outlineLevel="0" collapsed="false">
      <c r="A9" s="7" t="s">
        <v>13</v>
      </c>
      <c r="B9" s="8" t="n">
        <f aca="false">COUNTIF('Billing API Cases'!E2:E31,"Happy")</f>
        <v>16</v>
      </c>
    </row>
    <row r="10" customFormat="false" ht="15" hidden="false" customHeight="false" outlineLevel="0" collapsed="false">
      <c r="A10" s="7" t="s">
        <v>46</v>
      </c>
      <c r="B10" s="8" t="n">
        <f aca="false">COUNTIF('Billing API Cases'!E2:E31,"Edge")</f>
        <v>3</v>
      </c>
    </row>
    <row r="11" customFormat="false" ht="15" hidden="false" customHeight="false" outlineLevel="0" collapsed="false">
      <c r="A11" s="7" t="s">
        <v>31</v>
      </c>
      <c r="B11" s="8" t="n">
        <f aca="false">COUNTIF('Billing API Cases'!E2:E31,"Negative")</f>
        <v>11</v>
      </c>
    </row>
    <row r="12" customFormat="false" ht="15" hidden="false" customHeight="false" outlineLevel="0" collapsed="false">
      <c r="A12" s="7" t="s">
        <v>164</v>
      </c>
      <c r="B12" s="8" t="n">
        <f aca="false">COUNTIF('Billing API Cases'!E2:E31,"MIX")</f>
        <v>0</v>
      </c>
    </row>
    <row r="13" customFormat="false" ht="15" hidden="false" customHeight="false" outlineLevel="0" collapsed="false">
      <c r="A13" s="7"/>
      <c r="B13" s="8"/>
    </row>
    <row r="14" customFormat="false" ht="15" hidden="false" customHeight="false" outlineLevel="0" collapsed="false">
      <c r="A14" s="7" t="s">
        <v>165</v>
      </c>
      <c r="B14" s="8" t="n">
        <f aca="false">COUNTIF('Billing API Cases'!I2:I31,"Pass")</f>
        <v>0</v>
      </c>
    </row>
    <row r="15" customFormat="false" ht="15" hidden="false" customHeight="false" outlineLevel="0" collapsed="false">
      <c r="A15" s="7" t="s">
        <v>166</v>
      </c>
      <c r="B15" s="8" t="n">
        <f aca="false">COUNTIF('Billing API Cases'!I2:I31,"Fail")</f>
        <v>0</v>
      </c>
    </row>
    <row r="16" customFormat="false" ht="15" hidden="false" customHeight="false" outlineLevel="0" collapsed="false">
      <c r="A16" s="7" t="s">
        <v>17</v>
      </c>
      <c r="B16" s="8" t="n">
        <f aca="false">COUNTIF('Billing API Cases'!I2:I31,"Not Run")</f>
        <v>30</v>
      </c>
    </row>
    <row r="17" customFormat="false" ht="15" hidden="false" customHeight="false" outlineLevel="0" collapsed="false">
      <c r="A17" s="7"/>
      <c r="B17" s="8"/>
    </row>
    <row r="18" customFormat="false" ht="15" hidden="false" customHeight="false" outlineLevel="0" collapsed="false">
      <c r="A18" s="7" t="s">
        <v>167</v>
      </c>
      <c r="B18" s="9" t="n">
        <f aca="false">IF(B8-B16=0,0,B14/(B8-B16))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2026-07-13T06:16:27Z</dcterms:created>
  <dc:creator>openpyxl</dc:creator>
  <dc:description/>
  <dc:language>en-US</dc:language>
  <cp:lastModifiedBy/>
  <dcterms:modified xsi:type="dcterms:W3CDTF">2026-07-13T06:16:27Z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